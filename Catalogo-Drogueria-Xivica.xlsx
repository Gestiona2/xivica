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Listas" sheetId="2" state="hidden" r:id="rId4"/>
    <sheet name="Instrucciones" sheetId="3" state="visible" r:id="rId5"/>
  </sheets>
  <definedNames>
    <definedName function="false" hidden="true" localSheetId="0" name="_xlnm._FilterDatabase" vbProcedure="false">Productos!$A$1:$N$408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<sst xmlns="http://schemas.openxmlformats.org/spreadsheetml/2006/main" count="3170" uniqueCount="1569">
  <si>
    <t xml:space="preserve">Código (no tocar)</t>
  </si>
  <si>
    <t xml:space="preserve">Nombre</t>
  </si>
  <si>
    <t xml:space="preserve">Marca</t>
  </si>
  <si>
    <t xml:space="preserve">Presentación</t>
  </si>
  <si>
    <t xml:space="preserve">Categoría</t>
  </si>
  <si>
    <t xml:space="preserve">Subcategoría</t>
  </si>
  <si>
    <t xml:space="preserve">Precio ($)</t>
  </si>
  <si>
    <t xml:space="preserve">Precio anterior ($, vacío si no hay oferta)</t>
  </si>
  <si>
    <t xml:space="preserve">% descuento (se calcula solo)</t>
  </si>
  <si>
    <t xml:space="preserve">¿Hay existencias? (SI/NO)</t>
  </si>
  <si>
    <t xml:space="preserve">¿Destacado en portada? (SI/NO)</t>
  </si>
  <si>
    <t xml:space="preserve">¿Promoción relámpago? (SI/NO)</t>
  </si>
  <si>
    <t xml:space="preserve">¿Requiere fórmula? (SI/NO/vacío, SOLO el regente)</t>
  </si>
  <si>
    <t xml:space="preserve">Descripción (sin indicaciones médicas)</t>
  </si>
  <si>
    <t xml:space="preserve">oscillococcinum</t>
  </si>
  <si>
    <t xml:space="preserve">OSCILLOCOCCINUM</t>
  </si>
  <si>
    <t xml:space="preserve">Oscillococcinum</t>
  </si>
  <si>
    <t xml:space="preserve">medicamentos</t>
  </si>
  <si>
    <t xml:space="preserve">antigripales</t>
  </si>
  <si>
    <t xml:space="preserve">SI</t>
  </si>
  <si>
    <t xml:space="preserve">NO</t>
  </si>
  <si>
    <t xml:space="preserve">OSCILLOCOCCINUM medicamento original. Consulta a tu farmacéutico. • Entrega 45-90 min • Original sellado.</t>
  </si>
  <si>
    <t xml:space="preserve">shot-b-30-capsulas</t>
  </si>
  <si>
    <t xml:space="preserve">SHOT B 30 CAPSULAS</t>
  </si>
  <si>
    <t xml:space="preserve">30 Cápsulas</t>
  </si>
  <si>
    <t xml:space="preserve">bienestar-nutricion</t>
  </si>
  <si>
    <t xml:space="preserve">vitaminas</t>
  </si>
  <si>
    <t xml:space="preserve">SHOT B 30 CAPSULAS complemento nutricional. • Entrega 45-90 min • Original sellado.</t>
  </si>
  <si>
    <t xml:space="preserve">abrilar-jarabe-fco-x-100ml</t>
  </si>
  <si>
    <t xml:space="preserve">ABRILAR JARABE FCO X 100ML</t>
  </si>
  <si>
    <t xml:space="preserve">Abrilar</t>
  </si>
  <si>
    <t xml:space="preserve">100 ml · Jarabe</t>
  </si>
  <si>
    <t xml:space="preserve">ABRILAR JARABE FCO X 100ML medicamento original. Consulta a tu farmacéutico. • Entrega 45-90 min • Original sellado.</t>
  </si>
  <si>
    <t xml:space="preserve">aceite-jj-baby-original-50-ml</t>
  </si>
  <si>
    <t xml:space="preserve">ACEITE JJ BABY ORIGINAL 50 ML</t>
  </si>
  <si>
    <t xml:space="preserve">50 ml</t>
  </si>
  <si>
    <t xml:space="preserve">bebe-maternidad</t>
  </si>
  <si>
    <t xml:space="preserve">bebe</t>
  </si>
  <si>
    <t xml:space="preserve">ACEITE JJ BABY ORIGINAL 50 ML cuidado suave bebé. • Entrega 45-90 min • Original sellado.</t>
  </si>
  <si>
    <t xml:space="preserve">aceite-jj-baby-original-100-ml</t>
  </si>
  <si>
    <t xml:space="preserve">ACEITE JJ BABY ORIGINAL 100 ML</t>
  </si>
  <si>
    <t xml:space="preserve">100 ml</t>
  </si>
  <si>
    <t xml:space="preserve">ACEITE JJ BABY ORIGINAL 100 ML cuidado suave bebé. • Entrega 45-90 min • Original sellado.</t>
  </si>
  <si>
    <t xml:space="preserve">acetaminofen-codeina-325-30mg-30-tbs-gf</t>
  </si>
  <si>
    <t xml:space="preserve">ACETAMINOFEN+CODEINA 325/30MG 30 TBS GF</t>
  </si>
  <si>
    <t xml:space="preserve">30 mg · 30 Tabletas</t>
  </si>
  <si>
    <t xml:space="preserve">analgesicos</t>
  </si>
  <si>
    <t xml:space="preserve">ACETAMINOFEN+CODEINA 325/30MG 30 TBS GF medicamento original. Consulta a tu farmacéutico. • Entrega 45-90 min • Original sellado.</t>
  </si>
  <si>
    <t xml:space="preserve">acetaminofen-100-mg-gotas-30-ml</t>
  </si>
  <si>
    <t xml:space="preserve">ACETAMINOFEN 100 MG GOTAS 30 ML</t>
  </si>
  <si>
    <t xml:space="preserve">100 mg · 30 ml · Gotas</t>
  </si>
  <si>
    <t xml:space="preserve">ACETAMINOFEN 100 MG GOTAS 30 ML cuidado suave bebé. • Entrega 45-90 min • Original sellado.</t>
  </si>
  <si>
    <t xml:space="preserve">acetaminofen-160mg-5ml-jarabe-90ml-mk</t>
  </si>
  <si>
    <t xml:space="preserve">ACETAMINOFEN 160MG/5ML JARABE 90ML MK</t>
  </si>
  <si>
    <t xml:space="preserve">160 mg · 5 ml · Jarabe</t>
  </si>
  <si>
    <t xml:space="preserve">ACETAMINOFEN 160MG/5ML JARABE 90ML MK cuidado suave bebé. • Entrega 45-90 min • Original sellado.</t>
  </si>
  <si>
    <t xml:space="preserve">acetaminofen-codeina-325-8mg-20-tbs-mk</t>
  </si>
  <si>
    <t xml:space="preserve">ACETAMINOFEN+CODEINA 325/8MG 20 TBS MK</t>
  </si>
  <si>
    <t xml:space="preserve">8 mg · 20 Tabletas</t>
  </si>
  <si>
    <t xml:space="preserve">ACETAMINOFEN+CODEINA 325/8MG 20 TBS MK medicamento original. Consulta a tu farmacéutico. • Entrega 45-90 min • Original sellado.</t>
  </si>
  <si>
    <t xml:space="preserve">acetaminofen-jarabe-90-ml-quibi</t>
  </si>
  <si>
    <t xml:space="preserve">ACETAMINOFEN JARABE 90 ML QUIBI</t>
  </si>
  <si>
    <t xml:space="preserve">90 ml · Jarabe</t>
  </si>
  <si>
    <t xml:space="preserve">ACETAMINOFEN JARABE 90 ML QUIBI cuidado suave bebé. • Entrega 45-90 min • Original sellado.</t>
  </si>
  <si>
    <t xml:space="preserve">acetaminofen-kids-100-mg-gotas-30-ml</t>
  </si>
  <si>
    <t xml:space="preserve">ACETAMINOFEN KIDS 100 MG GOTAS 30 ML</t>
  </si>
  <si>
    <t xml:space="preserve">ACETAMINOFEN KIDS 100 MG GOTAS 30 ML cuidado suave bebé. • Entrega 45-90 min • Original sellado.</t>
  </si>
  <si>
    <t xml:space="preserve">aciclovir-200-mg-25-tabletas</t>
  </si>
  <si>
    <t xml:space="preserve">ACICLOVIR 200 MG 25 TABLETAS</t>
  </si>
  <si>
    <t xml:space="preserve">200 mg · 25 Tabletas</t>
  </si>
  <si>
    <t xml:space="preserve">antivirales</t>
  </si>
  <si>
    <t xml:space="preserve">ACICLOVIR 200 MG 25 TABLETAS medicamento original. Consulta a tu farmacéutico. • Entrega 45-90 min • Original sellado.</t>
  </si>
  <si>
    <t xml:space="preserve">aciclovir-800-mg-10-tabletas</t>
  </si>
  <si>
    <t xml:space="preserve">ACICLOVIR 800 MG 10 TABLETAS</t>
  </si>
  <si>
    <t xml:space="preserve">800 mg · 10 Tabletas</t>
  </si>
  <si>
    <t xml:space="preserve">ACICLOVIR 800 MG 10 TABLETAS medicamento original. Consulta a tu farmacéutico. • Entrega 45-90 min • Original sellado.</t>
  </si>
  <si>
    <t xml:space="preserve">aciclovir-unguento-topico-15-gr</t>
  </si>
  <si>
    <t xml:space="preserve">ACICLOVIR UNGUENTO TOPICO 15 GR</t>
  </si>
  <si>
    <t xml:space="preserve">15 g · Ungüento</t>
  </si>
  <si>
    <t xml:space="preserve">ACICLOVIR UNGUENTO TOPICO 15 GR medicamento original. Consulta a tu farmacéutico. • Entrega 45-90 min • Original sellado.</t>
  </si>
  <si>
    <t xml:space="preserve">acid-mantle-baby-crema-30-gr</t>
  </si>
  <si>
    <t xml:space="preserve">ACID MANTLE BABY CREMA 30 GR</t>
  </si>
  <si>
    <t xml:space="preserve">30 g · Crema</t>
  </si>
  <si>
    <t xml:space="preserve">dermatologicos</t>
  </si>
  <si>
    <t xml:space="preserve">ACID MANTLE BABY CREMA 30 GR cuidado suave bebé. • Entrega 45-90 min • Original sellado.</t>
  </si>
  <si>
    <t xml:space="preserve">acid-mantle-n-locion-120-ml-oferta-x-2-und</t>
  </si>
  <si>
    <t xml:space="preserve">ACID MANTLE N LOCION 120 ML  OFERTA X 2 UND</t>
  </si>
  <si>
    <t xml:space="preserve">120 ml · 2 Loción</t>
  </si>
  <si>
    <t xml:space="preserve">ACID MANTLE N LOCION 120 ML  OFERTA X 2 UND cuidado suave bebé. • Entrega 45-90 min • Original sellado.</t>
  </si>
  <si>
    <t xml:space="preserve">acido-folico-1-mg-100-tabletas</t>
  </si>
  <si>
    <t xml:space="preserve">ACIDO FOLICO 1 MG 100 TABLETAS</t>
  </si>
  <si>
    <t xml:space="preserve">1 mg · 100 Tabletas</t>
  </si>
  <si>
    <t xml:space="preserve">suplementos</t>
  </si>
  <si>
    <t xml:space="preserve">ACIDO FOLICO 1 MG 100 TABLETAS cuidado suave bebé. • Entrega 45-90 min • Original sellado.</t>
  </si>
  <si>
    <t xml:space="preserve">acido-folico-5-mg-cja-x-20tab</t>
  </si>
  <si>
    <t xml:space="preserve">ACIDO FOLICO 5 MG CJA X 20TAB</t>
  </si>
  <si>
    <t xml:space="preserve">5 mg · 20 unidades</t>
  </si>
  <si>
    <t xml:space="preserve">ACIDO FOLICO 5 MG CJA X 20TAB cuidado suave bebé. • Entrega 45-90 min • Original sellado.</t>
  </si>
  <si>
    <t xml:space="preserve">acido-fusidico-2-crema-15-gr</t>
  </si>
  <si>
    <t xml:space="preserve">ACIDO FUSIDICO 2% CREMA 15 GR</t>
  </si>
  <si>
    <t xml:space="preserve">15 g · Crema</t>
  </si>
  <si>
    <t xml:space="preserve">dermocosmeticos</t>
  </si>
  <si>
    <t xml:space="preserve">cuidado-piel</t>
  </si>
  <si>
    <t xml:space="preserve">ACIDO FUSIDICO 2% CREMA 15 GR dermocosmética. • Entrega 45-90 min • Original sellado.</t>
  </si>
  <si>
    <t xml:space="preserve">activa-grageas-cja-x-21-und</t>
  </si>
  <si>
    <t xml:space="preserve">ACTIVA GRAGEAS CJA X 21 UND</t>
  </si>
  <si>
    <t xml:space="preserve">21 Grageas</t>
  </si>
  <si>
    <t xml:space="preserve">ACTIVA GRAGEAS CJA X 21 UND medicamento original. Consulta a tu farmacéutico. • Entrega 45-90 min • Original sellado.</t>
  </si>
  <si>
    <t xml:space="preserve">advil-children-x-60-ml</t>
  </si>
  <si>
    <t xml:space="preserve">ADVIL CHILDREN X 60 ML</t>
  </si>
  <si>
    <t xml:space="preserve">Advil</t>
  </si>
  <si>
    <t xml:space="preserve">60 ml · 60 unidades</t>
  </si>
  <si>
    <t xml:space="preserve">ADVIL CHILDREN X 60 ML cuidado suave bebé. • Entrega 45-90 min • Original sellado.</t>
  </si>
  <si>
    <t xml:space="preserve">advil-gripa-10-capsulas</t>
  </si>
  <si>
    <t xml:space="preserve">ADVIL GRIPA 10 CAPSULAS</t>
  </si>
  <si>
    <t xml:space="preserve">10 Cápsulas</t>
  </si>
  <si>
    <t xml:space="preserve">ADVIL GRIPA 10 CAPSULAS medicamento original. Consulta a tu farmacéutico. • Entrega 45-90 min • Original sellado.</t>
  </si>
  <si>
    <t xml:space="preserve">advil-max-16-capsulas</t>
  </si>
  <si>
    <t xml:space="preserve">ADVIL MAX 16 CAPSULAS</t>
  </si>
  <si>
    <t xml:space="preserve">16 Cápsulas</t>
  </si>
  <si>
    <t xml:space="preserve">ADVIL MAX 16 CAPSULAS medicamento original. Consulta a tu farmacéutico. • Entrega 45-90 min • Original sellado.</t>
  </si>
  <si>
    <t xml:space="preserve">advil-ultra-10-capsulas</t>
  </si>
  <si>
    <t xml:space="preserve">ADVIL ULTRA 10 CAPSULAS</t>
  </si>
  <si>
    <t xml:space="preserve">ADVIL ULTRA 10 CAPSULAS medicamento original. Consulta a tu farmacéutico. • Entrega 45-90 min • Original sellado.</t>
  </si>
  <si>
    <t xml:space="preserve">aflux-jarabe-listo-75-ml</t>
  </si>
  <si>
    <t xml:space="preserve">AFLUX JARABE LISTO 75 ML</t>
  </si>
  <si>
    <t xml:space="preserve">75 ml · Jarabe</t>
  </si>
  <si>
    <t xml:space="preserve">respiratorio</t>
  </si>
  <si>
    <t xml:space="preserve">AFLUX JARABE LISTO 75 ML medicamento original. Consulta a tu farmacéutico. • Entrega 45-90 min • Original sellado.</t>
  </si>
  <si>
    <t xml:space="preserve">aftakids-gel-tubo-15-gr</t>
  </si>
  <si>
    <t xml:space="preserve">AFTAKIDS GEL TUBO 15 GR</t>
  </si>
  <si>
    <t xml:space="preserve">15 g · Gel</t>
  </si>
  <si>
    <t xml:space="preserve">bucal-aftas</t>
  </si>
  <si>
    <t xml:space="preserve">AFTAKIDS GEL TUBO 15 GR cuidado suave bebé. • Entrega 45-90 min • Original sellado.</t>
  </si>
  <si>
    <t xml:space="preserve">albendazol-200-mg-2-tabletas</t>
  </si>
  <si>
    <t xml:space="preserve">ALBENDAZOL 200 MG 2 TABLETAS</t>
  </si>
  <si>
    <t xml:space="preserve">200 mg · 2 Tabletas</t>
  </si>
  <si>
    <t xml:space="preserve">ALBENDAZOL 200 MG 2 TABLETAS medicamento original. Consulta a tu farmacéutico. • Entrega 45-90 min • Original sellado.</t>
  </si>
  <si>
    <t xml:space="preserve">albendazol-suspension-20-ml</t>
  </si>
  <si>
    <t xml:space="preserve">ALBENDAZOL SUSPENSION 20 ML</t>
  </si>
  <si>
    <t xml:space="preserve">20 ml · Suspensión</t>
  </si>
  <si>
    <t xml:space="preserve">ALBENDAZOL SUSPENSION 20 ML medicamento original. Consulta a tu farmacéutico. • Entrega 45-90 min • Original sellado.</t>
  </si>
  <si>
    <t xml:space="preserve">alka-seltzer-60-tabletas</t>
  </si>
  <si>
    <t xml:space="preserve">ALKA SELTZER 60 TABLETAS</t>
  </si>
  <si>
    <t xml:space="preserve">60 Tabletas</t>
  </si>
  <si>
    <t xml:space="preserve">ALKA SELTZER 60 TABLETAS complemento nutricional. • Entrega 45-90 min • Original sellado.</t>
  </si>
  <si>
    <t xml:space="preserve">allegra-120-mg-10-comprimidos-3</t>
  </si>
  <si>
    <t xml:space="preserve">ALLEGRA 120 MG 10 COMPRIMIDOS (3%+)</t>
  </si>
  <si>
    <t xml:space="preserve">120 mg · 10 Tabletas</t>
  </si>
  <si>
    <t xml:space="preserve">ALLEGRA 120 MG 10 COMPRIMIDOS (3%+) medicamento original. Consulta a tu farmacéutico. • Entrega 45-90 min • Original sellado.</t>
  </si>
  <si>
    <t xml:space="preserve">allegra-pediatrico-150-ml-3-pae</t>
  </si>
  <si>
    <t xml:space="preserve">ALLEGRA PEDIATRICO 150 ML (3%+)(PAE)</t>
  </si>
  <si>
    <t xml:space="preserve">150 ml</t>
  </si>
  <si>
    <t xml:space="preserve">ALLEGRA PEDIATRICO 150 ML (3%+)(PAE) cuidado suave bebé. • Entrega 45-90 min • Original sellado.</t>
  </si>
  <si>
    <t xml:space="preserve">amitriptilina-25-mg-30-tabletas</t>
  </si>
  <si>
    <t xml:space="preserve">AMITRIPTILINA 25 MG 30 TABLETAS</t>
  </si>
  <si>
    <t xml:space="preserve">25 mg · 30 Tabletas</t>
  </si>
  <si>
    <t xml:space="preserve">AMITRIPTILINA 25 MG 30 TABLETAS medicamento original. Consulta a tu farmacéutico. • Entrega 45-90 min • Original sellado.</t>
  </si>
  <si>
    <t xml:space="preserve">amlodipino-10-mg-10-tabletas</t>
  </si>
  <si>
    <t xml:space="preserve">AMLODIPINO 10 MG 10 TABLETAS</t>
  </si>
  <si>
    <t xml:space="preserve">10 mg · 10 Tabletas</t>
  </si>
  <si>
    <t xml:space="preserve">cardiovascular</t>
  </si>
  <si>
    <t xml:space="preserve">AMLODIPINO 10 MG 10 TABLETAS medicamento original. Consulta a tu farmacéutico. • Entrega 45-90 min • Original sellado.</t>
  </si>
  <si>
    <t xml:space="preserve">amlodipino-5-mg-30-tbs</t>
  </si>
  <si>
    <t xml:space="preserve">AMLODIPINO 5 MG 30 TBS</t>
  </si>
  <si>
    <t xml:space="preserve">5 mg · 30 Tabletas</t>
  </si>
  <si>
    <t xml:space="preserve">AMLODIPINO 5 MG 30 TBS medicamento original. Consulta a tu farmacéutico. • Entrega 45-90 min • Original sellado.</t>
  </si>
  <si>
    <t xml:space="preserve">amoxicilina-250-mg-suspension-100-ml</t>
  </si>
  <si>
    <t xml:space="preserve">AMOXICILINA 250 MG SUSPENSION 100 ML</t>
  </si>
  <si>
    <t xml:space="preserve">250 mg · 100 ml · Suspensión</t>
  </si>
  <si>
    <t xml:space="preserve">antibioticos</t>
  </si>
  <si>
    <t xml:space="preserve">AMOXICILINA 250 MG SUSPENSION 100 ML medicamento original. Consulta a tu farmacéutico. • Entrega 45-90 min • Original sellado.</t>
  </si>
  <si>
    <t xml:space="preserve">amoxicilina-250-mg-suspension-45-ml</t>
  </si>
  <si>
    <t xml:space="preserve">AMOXICILINA 250 MG SUSPENSION 45 ML</t>
  </si>
  <si>
    <t xml:space="preserve">250 mg · 45 ml · Suspensión</t>
  </si>
  <si>
    <t xml:space="preserve">AMOXICILINA 250 MG SUSPENSION 45 ML medicamento original. Consulta a tu farmacéutico. • Entrega 45-90 min • Original sellado.</t>
  </si>
  <si>
    <t xml:space="preserve">apronax-550-mg-60-tbs</t>
  </si>
  <si>
    <t xml:space="preserve">APRONAX 550 MG 60 TBS</t>
  </si>
  <si>
    <t xml:space="preserve">550 mg · 60 Tabletas</t>
  </si>
  <si>
    <t xml:space="preserve">APRONAX 550 MG 60 TBS medicamento original. Consulta a tu farmacéutico. • Entrega 45-90 min • Original sellado.</t>
  </si>
  <si>
    <t xml:space="preserve">apronax-liquid-gel-275-mg-50-capsulas</t>
  </si>
  <si>
    <t xml:space="preserve">APRONAX LIQUID GEL 275 MG 50 CAPSULAS</t>
  </si>
  <si>
    <t xml:space="preserve">275 mg · 50 Cápsulas</t>
  </si>
  <si>
    <t xml:space="preserve">APRONAX LIQUID GEL 275 MG 50 CAPSULAS medicamento original. Consulta a tu farmacéutico. • Entrega 45-90 min • Original sellado.</t>
  </si>
  <si>
    <t xml:space="preserve">aspirina-100-mg-140-tbs</t>
  </si>
  <si>
    <t xml:space="preserve">ASPIRINA 100 MG 140 TBS</t>
  </si>
  <si>
    <t xml:space="preserve">Aspirina</t>
  </si>
  <si>
    <t xml:space="preserve">100 mg · 140 Tabletas</t>
  </si>
  <si>
    <t xml:space="preserve">ASPIRINA 100 MG 140 TBS medicamento original. Consulta a tu farmacéutico. • Entrega 45-90 min • Original sellado.</t>
  </si>
  <si>
    <t xml:space="preserve">aspirina-efervescente-500-mg-50-tabletas</t>
  </si>
  <si>
    <t xml:space="preserve">ASPIRINA EFERVESCENTE 500 MG 50 TABLETAS</t>
  </si>
  <si>
    <t xml:space="preserve">500 mg · 50 Tabletas</t>
  </si>
  <si>
    <t xml:space="preserve">ASPIRINA EFERVESCENTE 500 MG 50 TABLETAS medicamento original. Consulta a tu farmacéutico. • Entrega 45-90 min • Original sellado.</t>
  </si>
  <si>
    <t xml:space="preserve">aspirina-ultra-500-mg-100-tabletas</t>
  </si>
  <si>
    <t xml:space="preserve">ASPIRINA ULTRA 500 MG 100 TABLETAS</t>
  </si>
  <si>
    <t xml:space="preserve">500 mg · 100 Tabletas</t>
  </si>
  <si>
    <t xml:space="preserve">ASPIRINA ULTRA 500 MG 100 TABLETAS medicamento original. Consulta a tu farmacéutico. • Entrega 45-90 min • Original sellado.</t>
  </si>
  <si>
    <t xml:space="preserve">atorvastatina-10-mg-30-tbs-momenta</t>
  </si>
  <si>
    <t xml:space="preserve">ATORVASTATINA 10 MG 30 TBS MOMENTA</t>
  </si>
  <si>
    <t xml:space="preserve">10 mg · 30 Tabletas</t>
  </si>
  <si>
    <t xml:space="preserve">ATORVASTATINA 10 MG 30 TBS MOMENTA medicamento original. Consulta a tu farmacéutico. • Entrega 45-90 min • Original sellado.</t>
  </si>
  <si>
    <t xml:space="preserve">atorvastatina-20-mg-30-tbs-momenta</t>
  </si>
  <si>
    <t xml:space="preserve">ATORVASTATINA 20 MG. 30 TBS MOMENTA</t>
  </si>
  <si>
    <t xml:space="preserve">20 mg · 30 Tabletas</t>
  </si>
  <si>
    <t xml:space="preserve">ATORVASTATINA 20 MG. 30 TBS MOMENTA medicamento original. Consulta a tu farmacéutico. • Entrega 45-90 min • Original sellado.</t>
  </si>
  <si>
    <t xml:space="preserve">atorvastatina-40-mg-30-tbs-momenta</t>
  </si>
  <si>
    <t xml:space="preserve">ATORVASTATINA 40 MG 30 TBS MOMENTA</t>
  </si>
  <si>
    <t xml:space="preserve">40 mg · 30 Tabletas</t>
  </si>
  <si>
    <t xml:space="preserve">ATORVASTATINA 40 MG 30 TBS MOMENTA medicamento original. Consulta a tu farmacéutico. • Entrega 45-90 min • Original sellado.</t>
  </si>
  <si>
    <t xml:space="preserve">azitromicina-200-mg-suspension-15-ml</t>
  </si>
  <si>
    <t xml:space="preserve">AZITROMICINA 200 MG SUSPENSION 15 ML</t>
  </si>
  <si>
    <t xml:space="preserve">200 mg · 15 ml · Suspensión</t>
  </si>
  <si>
    <t xml:space="preserve">AZITROMICINA 200 MG SUSPENSION 15 ML medicamento original. Consulta a tu farmacéutico. • Entrega 45-90 min • Original sellado.</t>
  </si>
  <si>
    <t xml:space="preserve">baby-klim-1-0-6-meses-400-gr</t>
  </si>
  <si>
    <t xml:space="preserve">BABY KLIM 1 0-6 MESES 400 GR</t>
  </si>
  <si>
    <t xml:space="preserve">400 g</t>
  </si>
  <si>
    <t xml:space="preserve">BABY KLIM 1 0-6 MESES 400 GR cuidado suave bebé. • Entrega 45-90 min • Original sellado.</t>
  </si>
  <si>
    <t xml:space="preserve">baycuten-n-crema-35-gr</t>
  </si>
  <si>
    <t xml:space="preserve">BAYCUTEN N CREMA 35 GR</t>
  </si>
  <si>
    <t xml:space="preserve">35 g · Crema</t>
  </si>
  <si>
    <t xml:space="preserve">BAYCUTEN N CREMA 35 GR medicamento original. Consulta a tu farmacéutico. • Entrega 45-90 min • Original sellado.</t>
  </si>
  <si>
    <t xml:space="preserve">bedoyecta-3-ampollas-a-3-pae</t>
  </si>
  <si>
    <t xml:space="preserve">BEDOYECTA 3 AMPOLLAS (A)(3%+)(PAE)</t>
  </si>
  <si>
    <t xml:space="preserve">Ampollas</t>
  </si>
  <si>
    <t xml:space="preserve">BEDOYECTA 3 AMPOLLAS (A)(3%+)(PAE) complemento nutricional. • Entrega 45-90 min • Original sellado.</t>
  </si>
  <si>
    <t xml:space="preserve">bellaface-suave-28-tbs</t>
  </si>
  <si>
    <t xml:space="preserve">BELLAFACE SUAVE 28 TBS</t>
  </si>
  <si>
    <t xml:space="preserve">28 Tabletas</t>
  </si>
  <si>
    <t xml:space="preserve">BELLAFACE SUAVE 28 TBS medicamento original. Consulta a tu farmacéutico. • Entrega 45-90 min • Original sellado.</t>
  </si>
  <si>
    <t xml:space="preserve">bellanew-1-5mg-2-0mg-28-tabletas</t>
  </si>
  <si>
    <t xml:space="preserve">BELLANEW 1.5MG/2.0MG 28 TABLETAS</t>
  </si>
  <si>
    <t xml:space="preserve">1.5 mg · 28 Tabletas</t>
  </si>
  <si>
    <t xml:space="preserve">BELLANEW 1.5MG/2.0MG 28 TABLETAS medicamento original. Consulta a tu farmacéutico. • Entrega 45-90 min • Original sellado.</t>
  </si>
  <si>
    <t xml:space="preserve">betametasona-0-05-crema-20-gr</t>
  </si>
  <si>
    <t xml:space="preserve">BETAMETASONA 0.05 % CREMA 20 GR</t>
  </si>
  <si>
    <t xml:space="preserve">20 g · Crema</t>
  </si>
  <si>
    <t xml:space="preserve">BETAMETASONA 0.05 % CREMA 20 GR medicamento original. Consulta a tu farmacéutico. • Entrega 45-90 min • Original sellado.</t>
  </si>
  <si>
    <t xml:space="preserve">betametasona-0-1-crema-20-gr</t>
  </si>
  <si>
    <t xml:space="preserve">BETAMETASONA 0.1% CREMA 20 GR</t>
  </si>
  <si>
    <t xml:space="preserve">BETAMETASONA 0.1% CREMA 20 GR medicamento original. Consulta a tu farmacéutico. • Entrega 45-90 min • Original sellado.</t>
  </si>
  <si>
    <t xml:space="preserve">betametasona-clotrim-neomicina-20-gr</t>
  </si>
  <si>
    <t xml:space="preserve">BETAMETASONA+CLOTRIM.+NEOMICINA 20 GR</t>
  </si>
  <si>
    <t xml:space="preserve">20 g</t>
  </si>
  <si>
    <t xml:space="preserve">BETAMETASONA+CLOTRIM.+NEOMICINA 20 GR medicamento original. Consulta a tu farmacéutico. • Entrega 45-90 min • Original sellado.</t>
  </si>
  <si>
    <t xml:space="preserve">bilaxten-20-mg-20-comp</t>
  </si>
  <si>
    <t xml:space="preserve">BILAXTEN 20 MG 20 COMP</t>
  </si>
  <si>
    <t xml:space="preserve">20 mg</t>
  </si>
  <si>
    <t xml:space="preserve">BILAXTEN 20 MG 20 COMP medicamento original. Consulta a tu farmacéutico. • Entrega 45-90 min • Original sellado.</t>
  </si>
  <si>
    <t xml:space="preserve">biocalcium-plus-polvo-30-sobres</t>
  </si>
  <si>
    <t xml:space="preserve">BIOCALCIUM PLUS POLVO 30 SOBRES</t>
  </si>
  <si>
    <t xml:space="preserve">30 Sobres</t>
  </si>
  <si>
    <t xml:space="preserve">BIOCALCIUM PLUS POLVO 30 SOBRES complemento nutricional. • Entrega 45-90 min • Original sellado.</t>
  </si>
  <si>
    <t xml:space="preserve">biocicar-crema-60-gr</t>
  </si>
  <si>
    <t xml:space="preserve">BIOCICAR CREMA 60 GR</t>
  </si>
  <si>
    <t xml:space="preserve">60 g · Crema</t>
  </si>
  <si>
    <t xml:space="preserve">BIOCICAR CREMA 60 GR cuidado suave bebé. • Entrega 45-90 min • Original sellado.</t>
  </si>
  <si>
    <t xml:space="preserve">bion-3-60-tabletas-recubiertas</t>
  </si>
  <si>
    <t xml:space="preserve">BION 3 60 TABLETAS RECUBIERTAS</t>
  </si>
  <si>
    <t xml:space="preserve">BION 3 60 TABLETAS RECUBIERTAS complemento nutricional. • Entrega 45-90 min • Original sellado.</t>
  </si>
  <si>
    <t xml:space="preserve">bisacodilo-5-mg-10-tabletas</t>
  </si>
  <si>
    <t xml:space="preserve">BISACODILO 5 MG 10 TABLETAS</t>
  </si>
  <si>
    <t xml:space="preserve">5 mg · 10 Tabletas</t>
  </si>
  <si>
    <t xml:space="preserve">BISACODILO 5 MG 10 TABLETAS medicamento original. Consulta a tu farmacéutico. • Entrega 45-90 min • Original sellado.</t>
  </si>
  <si>
    <t xml:space="preserve">bisbacter-262-mg-48-tabletas</t>
  </si>
  <si>
    <t xml:space="preserve">BISBACTER 262 MG 48 TABLETAS</t>
  </si>
  <si>
    <t xml:space="preserve">262 mg · 48 Tabletas</t>
  </si>
  <si>
    <t xml:space="preserve">BISBACTER 262 MG 48 TABLETAS medicamento original. Consulta a tu farmacéutico. • Entrega 45-90 min • Original sellado.</t>
  </si>
  <si>
    <t xml:space="preserve">bisoprolol-5-mg-30-tabletas</t>
  </si>
  <si>
    <t xml:space="preserve">BISOPROLOL 5 MG 30 TABLETAS</t>
  </si>
  <si>
    <t xml:space="preserve">BISOPROLOL 5 MG 30 TABLETAS medicamento original. Consulta a tu farmacéutico. • Entrega 45-90 min • Original sellado.</t>
  </si>
  <si>
    <t xml:space="preserve">cafiaspirina-forte-650mg-caja-x-36</t>
  </si>
  <si>
    <t xml:space="preserve">CAFIASPIRINA FORTE 650MG CAJA X 36</t>
  </si>
  <si>
    <t xml:space="preserve">650 mg · 36 unidades</t>
  </si>
  <si>
    <t xml:space="preserve">CAFIASPIRINA FORTE 650MG CAJA X 36 medicamento original. Consulta a tu farmacéutico. • Entrega 45-90 min • Original sellado.</t>
  </si>
  <si>
    <t xml:space="preserve">calmidol-compuesto-48-grageas</t>
  </si>
  <si>
    <t xml:space="preserve">CALMIDOL COMPUESTO 48 GRAGEAS</t>
  </si>
  <si>
    <t xml:space="preserve">Calmidol</t>
  </si>
  <si>
    <t xml:space="preserve">48 Grageas</t>
  </si>
  <si>
    <t xml:space="preserve">CALMIDOL COMPUESTO 48 GRAGEAS medicamento original. Consulta a tu farmacéutico. • Entrega 45-90 min • Original sellado.</t>
  </si>
  <si>
    <t xml:space="preserve">calmidol-max-grageas</t>
  </si>
  <si>
    <t xml:space="preserve">CALMIDOL MAX GRAGEAS</t>
  </si>
  <si>
    <t xml:space="preserve">Grageas</t>
  </si>
  <si>
    <t xml:space="preserve">CALMIDOL MAX GRAGEAS medicamento original. Consulta a tu farmacéutico. • Entrega 45-90 min • Original sellado.</t>
  </si>
  <si>
    <t xml:space="preserve">candesartan-8-mg-14-tabletas</t>
  </si>
  <si>
    <t xml:space="preserve">CANDESARTAN 8 MG 14 TABLETAS</t>
  </si>
  <si>
    <t xml:space="preserve">8 mg · 14 Tabletas</t>
  </si>
  <si>
    <t xml:space="preserve">CANDESARTAN 8 MG 14 TABLETAS medicamento original. Consulta a tu farmacéutico. • Entrega 45-90 min • Original sellado.</t>
  </si>
  <si>
    <t xml:space="preserve">captopril-25-mg-tbs-cja-x-30</t>
  </si>
  <si>
    <t xml:space="preserve">CAPTOPRIL 25 MG TBS CJA X 30</t>
  </si>
  <si>
    <t xml:space="preserve">CAPTOPRIL 25 MG TBS CJA X 30 medicamento original. Consulta a tu farmacéutico. • Entrega 45-90 min • Original sellado.</t>
  </si>
  <si>
    <t xml:space="preserve">captopril-50-mg-30-tabletas</t>
  </si>
  <si>
    <t xml:space="preserve">CAPTOPRIL 50 MG 30 TABLETAS</t>
  </si>
  <si>
    <t xml:space="preserve">50 mg · 30 Tabletas</t>
  </si>
  <si>
    <t xml:space="preserve">CAPTOPRIL 50 MG 30 TABLETAS medicamento original. Consulta a tu farmacéutico. • Entrega 45-90 min • Original sellado.</t>
  </si>
  <si>
    <t xml:space="preserve">cardioaspirina-100-mg-30-tabletas</t>
  </si>
  <si>
    <t xml:space="preserve">CARDIOASPIRINA 100 MG 30 TABLETAS</t>
  </si>
  <si>
    <t xml:space="preserve">Cardioaspirina</t>
  </si>
  <si>
    <t xml:space="preserve">100 mg · 30 Tabletas</t>
  </si>
  <si>
    <t xml:space="preserve">CARDIOASPIRINA 100 MG 30 TABLETAS medicamento original. Consulta a tu farmacéutico. • Entrega 45-90 min • Original sellado.</t>
  </si>
  <si>
    <t xml:space="preserve">carvedilol-12-5-mg-30-tbs</t>
  </si>
  <si>
    <t xml:space="preserve">CARVEDILOL 12.5 MG 30 TBS</t>
  </si>
  <si>
    <t xml:space="preserve">12.5 mg · 30 Tabletas</t>
  </si>
  <si>
    <t xml:space="preserve">CARVEDILOL 12.5 MG 30 TBS medicamento original. Consulta a tu farmacéutico. • Entrega 45-90 min • Original sellado.</t>
  </si>
  <si>
    <t xml:space="preserve">carvedilol-25-mg-30-tabletas</t>
  </si>
  <si>
    <t xml:space="preserve">CARVEDILOL 25 MG 30 TABLETAS</t>
  </si>
  <si>
    <t xml:space="preserve">CARVEDILOL 25 MG 30 TABLETAS medicamento original. Consulta a tu farmacéutico. • Entrega 45-90 min • Original sellado.</t>
  </si>
  <si>
    <t xml:space="preserve">carvedilol-6-25-mg-30-tbs</t>
  </si>
  <si>
    <t xml:space="preserve">CARVEDILOL 6.25 MG 30 TBS</t>
  </si>
  <si>
    <t xml:space="preserve">6.25 mg · 30 Tabletas</t>
  </si>
  <si>
    <t xml:space="preserve">CARVEDILOL 6.25 MG 30 TBS medicamento original. Consulta a tu farmacéutico. • Entrega 45-90 min • Original sellado.</t>
  </si>
  <si>
    <t xml:space="preserve">cebion-masticable-fresa-100-tabletas</t>
  </si>
  <si>
    <t xml:space="preserve">CEBION MASTICABLE FRESA 100 TABLETAS</t>
  </si>
  <si>
    <t xml:space="preserve">100 Tabletas</t>
  </si>
  <si>
    <t xml:space="preserve">CEBION MASTICABLE FRESA 100 TABLETAS complemento nutricional. • Entrega 45-90 min • Original sellado.</t>
  </si>
  <si>
    <t xml:space="preserve">cebion-gotas-30-ml</t>
  </si>
  <si>
    <t xml:space="preserve">CEBION GOTAS 30 ML</t>
  </si>
  <si>
    <t xml:space="preserve">30 ml · Gotas</t>
  </si>
  <si>
    <t xml:space="preserve">CEBION GOTAS 30 ML medicamento original. Consulta a tu farmacéutico. • Entrega 45-90 min • Original sellado.</t>
  </si>
  <si>
    <t xml:space="preserve">cefalexina-250-mg-suspension-60-ml</t>
  </si>
  <si>
    <t xml:space="preserve">CEFALEXINA 250 MG SUSPENSION 60 ML</t>
  </si>
  <si>
    <t xml:space="preserve">250 mg · 60 ml · Suspensión</t>
  </si>
  <si>
    <t xml:space="preserve">CEFALEXINA 250 MG SUSPENSION 60 ML medicamento original. Consulta a tu farmacéutico. • Entrega 45-90 min • Original sellado.</t>
  </si>
  <si>
    <t xml:space="preserve">cicatricure-anti-manchas-cr-dia-50gr</t>
  </si>
  <si>
    <t xml:space="preserve">CICATRICURE ANTI MANCHAS CR.DIA 50GR</t>
  </si>
  <si>
    <t xml:space="preserve">50 g</t>
  </si>
  <si>
    <t xml:space="preserve">cuidado-personal</t>
  </si>
  <si>
    <t xml:space="preserve">CICATRICURE ANTI MANCHAS CR.DIA 50GR cuidado diario. • Entrega 45-90 min • Original sellado.</t>
  </si>
  <si>
    <t xml:space="preserve">cefradina-500-mg-24-capsulas</t>
  </si>
  <si>
    <t xml:space="preserve">CEFRADINA 500 MG 24 CAPSULAS</t>
  </si>
  <si>
    <t xml:space="preserve">500 mg · 24 Cápsulas</t>
  </si>
  <si>
    <t xml:space="preserve">CEFRADINA 500 MG 24 CAPSULAS medicamento original. Consulta a tu farmacéutico. • Entrega 45-90 min • Original sellado.</t>
  </si>
  <si>
    <t xml:space="preserve">celecoxib-200-mg-10-capsulas</t>
  </si>
  <si>
    <t xml:space="preserve">CELECOXIB 200 MG 10 CAPSULAS</t>
  </si>
  <si>
    <t xml:space="preserve">200 mg · 10 Cápsulas</t>
  </si>
  <si>
    <t xml:space="preserve">CELECOXIB 200 MG 10 CAPSULAS medicamento original. Consulta a tu farmacéutico. • Entrega 45-90 min • Original sellado.</t>
  </si>
  <si>
    <t xml:space="preserve">centrum-silver-women-60</t>
  </si>
  <si>
    <t xml:space="preserve">CENTRUM SILVER WOMEN 60</t>
  </si>
  <si>
    <t xml:space="preserve">Centrum</t>
  </si>
  <si>
    <t xml:space="preserve">CENTRUM SILVER WOMEN 60 complemento nutricional. • Entrega 45-90 min • Original sellado.</t>
  </si>
  <si>
    <t xml:space="preserve">centrum-silver-men-50-30-tab</t>
  </si>
  <si>
    <t xml:space="preserve">CENTRUM SILVER MEN 50 30 TAB</t>
  </si>
  <si>
    <t xml:space="preserve">30 Tabletas</t>
  </si>
  <si>
    <t xml:space="preserve">CENTRUM SILVER MEN 50 30 TAB complemento nutricional. • Entrega 45-90 min • Original sellado.</t>
  </si>
  <si>
    <t xml:space="preserve">centrum-silver-women-50-30-tab</t>
  </si>
  <si>
    <t xml:space="preserve">CENTRUM SILVER WOMEN 50 30 TAB</t>
  </si>
  <si>
    <t xml:space="preserve">CENTRUM SILVER WOMEN 50 30 TAB complemento nutricional. • Entrega 45-90 min • Original sellado.</t>
  </si>
  <si>
    <t xml:space="preserve">2-cep-colgate-slim-soft-carbon-activado</t>
  </si>
  <si>
    <t xml:space="preserve">2 CEP.COLGATE SLIM SOFT CARBON ACTIVADO</t>
  </si>
  <si>
    <t xml:space="preserve">Colgate</t>
  </si>
  <si>
    <t xml:space="preserve">cuidado-bucal</t>
  </si>
  <si>
    <t xml:space="preserve">2 CEP.COLGATE SLIM SOFT CARBON ACTIVADO cuidado diario. • Entrega 45-90 min • Original sellado.</t>
  </si>
  <si>
    <t xml:space="preserve">cep-colgate-triple-accion-medio</t>
  </si>
  <si>
    <t xml:space="preserve">CEP.COLGATE TRIPLE ACCION MEDIO</t>
  </si>
  <si>
    <t xml:space="preserve">CEP.COLGATE TRIPLE ACCION MEDIO cuidado diario. • Entrega 45-90 min • Original sellado.</t>
  </si>
  <si>
    <t xml:space="preserve">cerebrit-330-gr-cerebrit-50-gr-p-e</t>
  </si>
  <si>
    <t xml:space="preserve">CEREBRIT 330 GR+CEREBRIT 50 GR P.E</t>
  </si>
  <si>
    <t xml:space="preserve">Cerebrit</t>
  </si>
  <si>
    <t xml:space="preserve">330 g</t>
  </si>
  <si>
    <t xml:space="preserve">CEREBRIT 330 GR+CEREBRIT 50 GR P.E complemento nutricional. • Entrega 45-90 min • Original sellado.</t>
  </si>
  <si>
    <t xml:space="preserve">cetaphil-crema-humect-453-gr-3-pae</t>
  </si>
  <si>
    <t xml:space="preserve">CETAPHIL CREMA HUMECT. 453 GR(3%+)(PAE</t>
  </si>
  <si>
    <t xml:space="preserve">453 g · Crema</t>
  </si>
  <si>
    <t xml:space="preserve">CETAPHIL CREMA HUMECT. 453 GR(3%+)(PAE dermocosmética. • Entrega 45-90 min • Original sellado.</t>
  </si>
  <si>
    <t xml:space="preserve">cetirizina-10-mg-10-tabletas</t>
  </si>
  <si>
    <t xml:space="preserve">CETIRIZINA 10 MG 10 TABLETAS</t>
  </si>
  <si>
    <t xml:space="preserve">antialergicos</t>
  </si>
  <si>
    <t xml:space="preserve">CETIRIZINA 10 MG 10 TABLETAS medicamento original. Consulta a tu farmacéutico. • Entrega 45-90 min • Original sellado.</t>
  </si>
  <si>
    <t xml:space="preserve">cetirizina-1-gotas-15-ml</t>
  </si>
  <si>
    <t xml:space="preserve">CETIRIZINA 1% GOTAS 15 ML</t>
  </si>
  <si>
    <t xml:space="preserve">15 ml · Gotas</t>
  </si>
  <si>
    <t xml:space="preserve">CETIRIZINA 1% GOTAS 15 ML cuidado suave bebé. • Entrega 45-90 min • Original sellado.</t>
  </si>
  <si>
    <t xml:space="preserve">cha-babaria-ninos-manzanilla-600-ml</t>
  </si>
  <si>
    <t xml:space="preserve">CHA.BABARIA NINOS MANZANILLA 600 ML</t>
  </si>
  <si>
    <t xml:space="preserve">600 ml · Shampoo</t>
  </si>
  <si>
    <t xml:space="preserve">cuidado-capilar</t>
  </si>
  <si>
    <t xml:space="preserve">CHA.BABARIA NINOS MANZANILLA 600 ML cuidado suave bebé. • Entrega 45-90 min • Original sellado.</t>
  </si>
  <si>
    <t xml:space="preserve">cha-pantene-fuerza-reconstruccion-400-ml</t>
  </si>
  <si>
    <t xml:space="preserve">CHA.PANTENE FUERZA RECONSTRUCCION 400 ML</t>
  </si>
  <si>
    <t xml:space="preserve">400 ml · Shampoo</t>
  </si>
  <si>
    <t xml:space="preserve">CHA.PANTENE FUERZA RECONSTRUCCION 400 ML cuidado diario. • Entrega 45-90 min • Original sellado.</t>
  </si>
  <si>
    <t xml:space="preserve">cha-savital-multivitaminas-550-ml</t>
  </si>
  <si>
    <t xml:space="preserve">CHA.SAVITAL MULTIVITAMINAS 550 ML</t>
  </si>
  <si>
    <t xml:space="preserve">550 ml · Shampoo</t>
  </si>
  <si>
    <t xml:space="preserve">CHA.SAVITAL MULTIVITAMINAS 550 ML cuidado diario. • Entrega 45-90 min • Original sellado.</t>
  </si>
  <si>
    <t xml:space="preserve">cha-sedal-rizos-def-infusion-act-400ml</t>
  </si>
  <si>
    <t xml:space="preserve">CHA SEDAL RIZOS DEF. INFUSION ACT. 400ML</t>
  </si>
  <si>
    <t xml:space="preserve">Sedal</t>
  </si>
  <si>
    <t xml:space="preserve">400 ml</t>
  </si>
  <si>
    <t xml:space="preserve">CHA SEDAL RIZOS DEF. INFUSION ACT. 400ML cuidado diario. • Entrega 45-90 min • Original sellado.</t>
  </si>
  <si>
    <t xml:space="preserve">cha-tio-nacho-herbolaria-milen-415ml</t>
  </si>
  <si>
    <t xml:space="preserve">CHA TIO NACHO HERBOLARIA MILEN 415ML</t>
  </si>
  <si>
    <t xml:space="preserve">Tio Nacho</t>
  </si>
  <si>
    <t xml:space="preserve">415 ml</t>
  </si>
  <si>
    <t xml:space="preserve">CHA TIO NACHO HERBOLARIA MILEN 415ML cuidado diario. • Entrega 45-90 min • Original sellado.</t>
  </si>
  <si>
    <t xml:space="preserve">redoxon-total-efer-20-tbs-econopack</t>
  </si>
  <si>
    <t xml:space="preserve">REDOXON TOTAL EFER.20 TBS ECONOPACK</t>
  </si>
  <si>
    <t xml:space="preserve">Redoxon</t>
  </si>
  <si>
    <t xml:space="preserve">20 Tabletas</t>
  </si>
  <si>
    <t xml:space="preserve">REDOXON TOTAL EFER.20 TBS ECONOPACK complemento nutricional. • Entrega 45-90 min • Original sellado.</t>
  </si>
  <si>
    <t xml:space="preserve">cha-tio-nacho-herbolaria-acon-415-ml</t>
  </si>
  <si>
    <t xml:space="preserve">CHA.TIO NACHO HERBOLARIA+ACON.415 ML</t>
  </si>
  <si>
    <t xml:space="preserve">415 ml · Shampoo</t>
  </si>
  <si>
    <t xml:space="preserve">CHA.TIO NACHO HERBOLARIA+ACON.415 ML cuidado diario. • Entrega 45-90 min • Original sellado.</t>
  </si>
  <si>
    <t xml:space="preserve">cialis-20-mg-tbs-cja-x-1-und</t>
  </si>
  <si>
    <t xml:space="preserve">CIALIS 20 MG TBS  CJA X 1 UND</t>
  </si>
  <si>
    <t xml:space="preserve">20 mg · 1 Tabletas</t>
  </si>
  <si>
    <t xml:space="preserve">CIALIS 20 MG TBS  CJA X 1 UND medicamento original. Consulta a tu farmacéutico. • Entrega 45-90 min • Original sellado.</t>
  </si>
  <si>
    <t xml:space="preserve">cicatricure-gel-30-gr</t>
  </si>
  <si>
    <t xml:space="preserve">CICATRICURE GEL 30 GR</t>
  </si>
  <si>
    <t xml:space="preserve">30 g · Gel</t>
  </si>
  <si>
    <t xml:space="preserve">CICATRICURE GEL 30 GR cuidado diario. • Entrega 45-90 min • Original sellado.</t>
  </si>
  <si>
    <t xml:space="preserve">ciruelax-jalea-300-gr</t>
  </si>
  <si>
    <t xml:space="preserve">CIRUELAX JALEA 300 GR</t>
  </si>
  <si>
    <t xml:space="preserve">300 g</t>
  </si>
  <si>
    <t xml:space="preserve">CIRUELAX JALEA 300 GR complemento nutricional. • Entrega 45-90 min • Original sellado.</t>
  </si>
  <si>
    <t xml:space="preserve">ciruelax-minitabs-40-comprimidos</t>
  </si>
  <si>
    <t xml:space="preserve">CIRUELAX MINITABS 40 COMPRIMIDOS</t>
  </si>
  <si>
    <t xml:space="preserve">40 Tabletas</t>
  </si>
  <si>
    <t xml:space="preserve">CIRUELAX MINITABS 40 COMPRIMIDOS complemento nutricional. • Entrega 45-90 min • Original sellado.</t>
  </si>
  <si>
    <t xml:space="preserve">claritromicina-500-mg-10-tabletas-ag</t>
  </si>
  <si>
    <t xml:space="preserve">CLARITROMICINA 500 MG 10 TABLETAS AG</t>
  </si>
  <si>
    <t xml:space="preserve">500 mg · 10 Tabletas</t>
  </si>
  <si>
    <t xml:space="preserve">CLARITROMICINA 500 MG 10 TABLETAS AG medicamento original. Consulta a tu farmacéutico. • Entrega 45-90 min • Original sellado.</t>
  </si>
  <si>
    <t xml:space="preserve">claritromicina-500-mg-10-tabletas-gf</t>
  </si>
  <si>
    <t xml:space="preserve">CLARITROMICINA 500 MG 10 TABLETAS GF</t>
  </si>
  <si>
    <t xml:space="preserve">CLARITROMICINA 500 MG 10 TABLETAS GF medicamento original. Consulta a tu farmacéutico. • Entrega 45-90 min • Original sellado.</t>
  </si>
  <si>
    <t xml:space="preserve">clavulin-1-gr-14-tabletas-3-a-pae</t>
  </si>
  <si>
    <t xml:space="preserve">CLAVULIN 1 GR 14 TABLETAS (3%+)(A)(PAE)</t>
  </si>
  <si>
    <t xml:space="preserve">Clavulin</t>
  </si>
  <si>
    <t xml:space="preserve">1 g · 14 Tabletas</t>
  </si>
  <si>
    <t xml:space="preserve">CLAVULIN 1 GR 14 TABLETAS (3%+)(A)(PAE) medicamento original. Consulta a tu farmacéutico. • Entrega 45-90 min • Original sellado.</t>
  </si>
  <si>
    <t xml:space="preserve">clobezan-crema-25-gr</t>
  </si>
  <si>
    <t xml:space="preserve">CLOBEZAN CREMA 25 GR</t>
  </si>
  <si>
    <t xml:space="preserve">25 g · Crema</t>
  </si>
  <si>
    <t xml:space="preserve">CLOBEZAN CREMA 25 GR medicamento original. Consulta a tu farmacéutico. • Entrega 45-90 min • Original sellado.</t>
  </si>
  <si>
    <t xml:space="preserve">clorfeniramina-jarabe-120-ml</t>
  </si>
  <si>
    <t xml:space="preserve">CLORFENIRAMINA JARABE 120 ML</t>
  </si>
  <si>
    <t xml:space="preserve">120 ml · Jarabe</t>
  </si>
  <si>
    <t xml:space="preserve">CLORFENIRAMINA JARABE 120 ML medicamento original. Consulta a tu farmacéutico. • Entrega 45-90 min • Original sellado.</t>
  </si>
  <si>
    <t xml:space="preserve">clorfeniramina-4-mg-20-tabletas</t>
  </si>
  <si>
    <t xml:space="preserve">CLORFENIRAMINA 4 MG 20 TABLETAS</t>
  </si>
  <si>
    <t xml:space="preserve">4 mg · 20 Tabletas</t>
  </si>
  <si>
    <t xml:space="preserve">CLORFENIRAMINA 4 MG 20 TABLETAS medicamento original. Consulta a tu farmacéutico. • Entrega 45-90 min • Original sellado.</t>
  </si>
  <si>
    <t xml:space="preserve">clotrimazol-100mg-10-ovulos-vaginales</t>
  </si>
  <si>
    <t xml:space="preserve">CLOTRIMAZOL 100MG 10 OVULOS VAGINALES</t>
  </si>
  <si>
    <t xml:space="preserve">100 mg · Óvulos</t>
  </si>
  <si>
    <t xml:space="preserve">CLOTRIMAZOL 100MG 10 OVULOS VAGINALES medicamento original. Consulta a tu farmacéutico. • Entrega 45-90 min • Original sellado.</t>
  </si>
  <si>
    <t xml:space="preserve">clotrimazol-1-crema-topica-40-gr</t>
  </si>
  <si>
    <t xml:space="preserve">CLOTRIMAZOL 1% CREMA TOPICA 40 GR</t>
  </si>
  <si>
    <t xml:space="preserve">40 g · Crema</t>
  </si>
  <si>
    <t xml:space="preserve">CLOTRIMAZOL 1% CREMA TOPICA 40 GR medicamento original. Consulta a tu farmacéutico. • Entrega 45-90 min • Original sellado.</t>
  </si>
  <si>
    <t xml:space="preserve">colchicina-0-5-mg-40-tabletas</t>
  </si>
  <si>
    <t xml:space="preserve">COLCHICINA 0.5 MG 40 TABLETAS</t>
  </si>
  <si>
    <t xml:space="preserve">0.5 mg · 40 Tabletas</t>
  </si>
  <si>
    <t xml:space="preserve">COLCHICINA 0.5 MG 40 TABLETAS medicamento original. Consulta a tu farmacéutico. • Entrega 45-90 min • Original sellado.</t>
  </si>
  <si>
    <t xml:space="preserve">colchimedio-40-tabletas</t>
  </si>
  <si>
    <t xml:space="preserve">COLCHIMEDIO 40 TABLETAS</t>
  </si>
  <si>
    <t xml:space="preserve">COLCHIMEDIO 40 TABLETAS medicamento original. Consulta a tu farmacéutico. • Entrega 45-90 min • Original sellado.</t>
  </si>
  <si>
    <t xml:space="preserve">colloplus-solucion-10-ml</t>
  </si>
  <si>
    <t xml:space="preserve">COLLOPLUS SOLUCION 10 ML</t>
  </si>
  <si>
    <t xml:space="preserve">10 ml</t>
  </si>
  <si>
    <t xml:space="preserve">COLLOPLUS SOLUCION 10 ML medicamento original. Consulta a tu farmacéutico. • Entrega 45-90 min • Original sellado.</t>
  </si>
  <si>
    <t xml:space="preserve">complejo-b-10-ml-ampolla</t>
  </si>
  <si>
    <t xml:space="preserve">COMPLEJO B 10 ML AMPOLLA</t>
  </si>
  <si>
    <t xml:space="preserve">10 ml · Ampollas</t>
  </si>
  <si>
    <t xml:space="preserve">COMPLEJO B 10 ML AMPOLLA medicamento original. Consulta a tu farmacéutico. • Entrega 45-90 min • Original sellado.</t>
  </si>
  <si>
    <t xml:space="preserve">complejo-b-250-tabletas</t>
  </si>
  <si>
    <t xml:space="preserve">COMPLEJO B 250 TABLETAS</t>
  </si>
  <si>
    <t xml:space="preserve">250 Tabletas</t>
  </si>
  <si>
    <t xml:space="preserve">COMPLEJO B 250 TABLETAS medicamento original. Consulta a tu farmacéutico. • Entrega 45-90 min • Original sellado.</t>
  </si>
  <si>
    <t xml:space="preserve">concor-2-5-mg-30-tbs</t>
  </si>
  <si>
    <t xml:space="preserve">CONCOR 2.5 MG 30 TBS</t>
  </si>
  <si>
    <t xml:space="preserve">2.5 mg · 30 Tabletas</t>
  </si>
  <si>
    <t xml:space="preserve">CONCOR 2.5 MG 30 TBS medicamento original. Consulta a tu farmacéutico. • Entrega 45-90 min • Original sellado.</t>
  </si>
  <si>
    <t xml:space="preserve">congestex-10-capsulas</t>
  </si>
  <si>
    <t xml:space="preserve">CONGESTEX 10 CAPSULAS</t>
  </si>
  <si>
    <t xml:space="preserve">CONGESTEX 10 CAPSULAS medicamento original. Consulta a tu farmacéutico. • Entrega 45-90 min • Original sellado.</t>
  </si>
  <si>
    <t xml:space="preserve">corasan-crema-20-gr</t>
  </si>
  <si>
    <t xml:space="preserve">CORASAN CREMA 20 GR</t>
  </si>
  <si>
    <t xml:space="preserve">CORASAN CREMA 20 GR medicamento original. Consulta a tu farmacéutico. • Entrega 45-90 min • Original sellado.</t>
  </si>
  <si>
    <t xml:space="preserve">corbis-bisoprolol-2-5-mg-30-tbs</t>
  </si>
  <si>
    <t xml:space="preserve">CORBIS BISOPROLOL 2.5 MG 30 TBS</t>
  </si>
  <si>
    <t xml:space="preserve">CORBIS BISOPROLOL 2.5 MG 30 TBS medicamento original. Consulta a tu farmacéutico. • Entrega 45-90 min • Original sellado.</t>
  </si>
  <si>
    <t xml:space="preserve">coricidin-gotas-pediatricas-30-ml</t>
  </si>
  <si>
    <t xml:space="preserve">CORICIDIN GOTAS PEDIATRICAS 30 ML</t>
  </si>
  <si>
    <t xml:space="preserve">Coricidin</t>
  </si>
  <si>
    <t xml:space="preserve">CORICIDIN GOTAS PEDIATRICAS 30 ML cuidado suave bebé. • Entrega 45-90 min • Original sellado.</t>
  </si>
  <si>
    <t xml:space="preserve">crema-corega-3d-ultra-sin-sabor-20-gr</t>
  </si>
  <si>
    <t xml:space="preserve">CREMA COREGA 3D.ULTRA SIN SABOR 20 GR</t>
  </si>
  <si>
    <t xml:space="preserve">CREMA COREGA 3D.ULTRA SIN SABOR 20 GR cuidado diario. • Entrega 45-90 min • Original sellado.</t>
  </si>
  <si>
    <t xml:space="preserve">crema-ponds-clarant-b3-n-seca-50-gr</t>
  </si>
  <si>
    <t xml:space="preserve">CREMA PONDS CLARANT B3 N.SECA 50 GR</t>
  </si>
  <si>
    <t xml:space="preserve">Ponds</t>
  </si>
  <si>
    <t xml:space="preserve">50 g · Crema</t>
  </si>
  <si>
    <t xml:space="preserve">CREMA PONDS CLARANT B3 N.SECA 50 GR cuidado diario. • Entrega 45-90 min • Original sellado.</t>
  </si>
  <si>
    <t xml:space="preserve">crema-jj-baby-avena-200-ml</t>
  </si>
  <si>
    <t xml:space="preserve">CREMA JJ BABY AVENA 200 ML</t>
  </si>
  <si>
    <t xml:space="preserve">200 ml · Crema</t>
  </si>
  <si>
    <t xml:space="preserve">CREMA JJ BABY AVENA 200 ML cuidado suave bebé. • Entrega 45-90 min • Original sellado.</t>
  </si>
  <si>
    <t xml:space="preserve">lubriderm-locion-extrahumectante-200-ml</t>
  </si>
  <si>
    <t xml:space="preserve">LUBRIDERM LOCION EXTRAHUMECTANTE 200 ML</t>
  </si>
  <si>
    <t xml:space="preserve">Lubriderm</t>
  </si>
  <si>
    <t xml:space="preserve">200 ml · Loción</t>
  </si>
  <si>
    <t xml:space="preserve">LUBRIDERM LOCION EXTRAHUMECTANTE 200 ML cuidado diario. • Entrega 45-90 min • Original sellado.</t>
  </si>
  <si>
    <t xml:space="preserve">lubriderm-locion-piel-sensible-120-ml</t>
  </si>
  <si>
    <t xml:space="preserve">LUBRIDERM LOCION PIEL SENSIBLE 120 ML</t>
  </si>
  <si>
    <t xml:space="preserve">120 ml · Loción</t>
  </si>
  <si>
    <t xml:space="preserve">LUBRIDERM LOCION PIEL SENSIBLE 120 ML cuidado diario. • Entrega 45-90 min • Original sellado.</t>
  </si>
  <si>
    <t xml:space="preserve">crema-nivea-body-milk-almendras-125-ml</t>
  </si>
  <si>
    <t xml:space="preserve">CREMA NIVEA BODY MILK ALMENDRAS 125 ML</t>
  </si>
  <si>
    <t xml:space="preserve">Nivea</t>
  </si>
  <si>
    <t xml:space="preserve">125 ml · Crema</t>
  </si>
  <si>
    <t xml:space="preserve">CREMA NIVEA BODY MILK ALMENDRAS 125 ML cuidado diario. • Entrega 45-90 min • Original sellado.</t>
  </si>
  <si>
    <t xml:space="preserve">crema-ponds-rejuveness-fps30-45-gr</t>
  </si>
  <si>
    <t xml:space="preserve">CREMA PONDS REJUVENESS FPS30 45 GR</t>
  </si>
  <si>
    <t xml:space="preserve">45 g · Crema</t>
  </si>
  <si>
    <t xml:space="preserve">CREMA PONDS REJUVENESS FPS30 45 GR cuidado diario. • Entrega 45-90 min • Original sellado.</t>
  </si>
  <si>
    <t xml:space="preserve">crema-p-peinar-jj-baby-x-200-ml</t>
  </si>
  <si>
    <t xml:space="preserve">CREMA P.PEINAR JJ BABY X 200 ML</t>
  </si>
  <si>
    <t xml:space="preserve">200 ml · 200 Crema</t>
  </si>
  <si>
    <t xml:space="preserve">CREMA P.PEINAR JJ BABY X 200 ML cuidado suave bebé. • Entrega 45-90 min • Original sellado.</t>
  </si>
  <si>
    <t xml:space="preserve">crema-p-peinar-savital-acei-argan-270-ml</t>
  </si>
  <si>
    <t xml:space="preserve">CREMA P.PEINAR SAVITAL ACEI.ARGAN 270 ML</t>
  </si>
  <si>
    <t xml:space="preserve">270 ml · Crema</t>
  </si>
  <si>
    <t xml:space="preserve">CREMA P.PEINAR SAVITAL ACEI.ARGAN 270 ML cuidado diario. • Entrega 45-90 min • Original sellado.</t>
  </si>
  <si>
    <t xml:space="preserve">cre-depilex-3en1-biquini-y-axila-100-2x1</t>
  </si>
  <si>
    <t xml:space="preserve">CRE.DEPILEX 3EN1 BIQUINI Y AXILA 100 2X1</t>
  </si>
  <si>
    <t xml:space="preserve">CRE.DEPILEX 3EN1 BIQUINI Y AXILA 100 2X1 cuidado diario. • Entrega 45-90 min • Original sellado.</t>
  </si>
  <si>
    <t xml:space="preserve">crema-ponds-clarant-b3-fps30-45gr</t>
  </si>
  <si>
    <t xml:space="preserve">CREMA PONDS CLARANT B3 FPS30 45GR</t>
  </si>
  <si>
    <t xml:space="preserve">CREMA PONDS CLARANT B3 FPS30 45GR cuidado diario. • Entrega 45-90 min • Original sellado.</t>
  </si>
  <si>
    <t xml:space="preserve">crema-ponds-rejuveness-fps30-45-gr-2</t>
  </si>
  <si>
    <t xml:space="preserve">lubriderm-extra-humectante</t>
  </si>
  <si>
    <t xml:space="preserve">LUBRIDERM EXTRA HUMECTANTE</t>
  </si>
  <si>
    <t xml:space="preserve">LUBRIDERM EXTRA HUMECTANTE cuidado diario. • Entrega 45-90 min • Original sellado.</t>
  </si>
  <si>
    <t xml:space="preserve">zopiclona-7-5-mg-30-tabletas</t>
  </si>
  <si>
    <t xml:space="preserve">ZOPICLONA 7.5 MG 30 TABLETAS</t>
  </si>
  <si>
    <t xml:space="preserve">7.5 mg · 30 Tabletas</t>
  </si>
  <si>
    <t xml:space="preserve">ZOPICLONA 7.5 MG 30 TABLETAS medicamento original. Consulta a tu farmacéutico. • Entrega 45-90 min • Original sellado.</t>
  </si>
  <si>
    <t xml:space="preserve">yasminiq-28-compr-p-24900-sc-sf-pdb</t>
  </si>
  <si>
    <t xml:space="preserve">YASMINIQ 28 COMPR.(P)24900(SC)(SF)(PDB)</t>
  </si>
  <si>
    <t xml:space="preserve">YASMINIQ 28 COMPR.(P)24900(SC)(SF)(PDB) medicamento original. Consulta a tu farmacéutico. • Entrega 45-90 min • Original sellado.</t>
  </si>
  <si>
    <t xml:space="preserve">yael-21-tabletas-m-12698</t>
  </si>
  <si>
    <t xml:space="preserve">YAEL 21 TABLETAS (M)12698</t>
  </si>
  <si>
    <t xml:space="preserve">21 Tabletas</t>
  </si>
  <si>
    <t xml:space="preserve">anticonceptivos</t>
  </si>
  <si>
    <t xml:space="preserve">YAEL 21 TABLETAS (M)12698 medicamento original. Consulta a tu farmacéutico. • Entrega 45-90 min • Original sellado.</t>
  </si>
  <si>
    <t xml:space="preserve">x-ray-gel-diclofenaco-1-30-gr</t>
  </si>
  <si>
    <t xml:space="preserve">X RAY GEL (DICLOFENACO 1%) 30 GR</t>
  </si>
  <si>
    <t xml:space="preserve">X RAY GEL (DICLOFENACO 1%) 30 GR medicamento original. Consulta a tu farmacéutico. • Entrega 45-90 min • Original sellado.</t>
  </si>
  <si>
    <t xml:space="preserve">x-ray-dol-48-tbs-p-e</t>
  </si>
  <si>
    <t xml:space="preserve">X-RAY DOL 48 TBS P.E.</t>
  </si>
  <si>
    <t xml:space="preserve">48 Tabletas</t>
  </si>
  <si>
    <t xml:space="preserve">X-RAY DOL 48 TBS P.E. medicamento original. Consulta a tu farmacéutico. • Entrega 45-90 min • Original sellado.</t>
  </si>
  <si>
    <t xml:space="preserve">voltaren-50-mg-3-blister-10-grageas-3</t>
  </si>
  <si>
    <t xml:space="preserve">VOLTAREN 50 MG 3 BLISTER 10 GRAGEAS(3%+)</t>
  </si>
  <si>
    <t xml:space="preserve">Voltaren</t>
  </si>
  <si>
    <t xml:space="preserve">50 mg · 10 Grageas</t>
  </si>
  <si>
    <t xml:space="preserve">VOLTAREN 50 MG 3 BLISTER 10 GRAGEAS(3%+) medicamento original. Consulta a tu farmacéutico. • Entrega 45-90 min • Original sellado.</t>
  </si>
  <si>
    <t xml:space="preserve">voltaren-emulgel-tubo-100-gr</t>
  </si>
  <si>
    <t xml:space="preserve">VOLTAREN EMULGEL TUBO 100 GR</t>
  </si>
  <si>
    <t xml:space="preserve">100 g</t>
  </si>
  <si>
    <t xml:space="preserve">VOLTAREN EMULGEL TUBO 100 GR medicamento original. Consulta a tu farmacéutico. • Entrega 45-90 min • Original sellado.</t>
  </si>
  <si>
    <t xml:space="preserve">vitamina-e-1000-iu-50-softgels-iva</t>
  </si>
  <si>
    <t xml:space="preserve">VITAMINA E 1000 IU 50 SOFTGELS IVA</t>
  </si>
  <si>
    <t xml:space="preserve">VITAMINA E 1000 IU 50 SOFTGELS IVA complemento nutricional. • Entrega 45-90 min • Original sellado.</t>
  </si>
  <si>
    <t xml:space="preserve">itacerebrina-jarabe-cereza-180-ml</t>
  </si>
  <si>
    <t xml:space="preserve">ITACEREBRINA JARABE CEREZA 180 ML</t>
  </si>
  <si>
    <t xml:space="preserve">180 ml · Jarabe</t>
  </si>
  <si>
    <t xml:space="preserve">ITACEREBRINA JARABE CEREZA 180 ML complemento nutricional. • Entrega 45-90 min • Original sellado.</t>
  </si>
  <si>
    <t xml:space="preserve">vick-44-exp-ninos-adultos-jbe-120-ml</t>
  </si>
  <si>
    <t xml:space="preserve">VICK 44 EXP NINOS ADULTOS JBE 120 ML</t>
  </si>
  <si>
    <t xml:space="preserve">Vick</t>
  </si>
  <si>
    <t xml:space="preserve">VICK 44 EXP NINOS ADULTOS JBE 120 ML cuidado suave bebé. • Entrega 45-90 min • Original sellado.</t>
  </si>
  <si>
    <t xml:space="preserve">veroniq-mini-21-tabletas-m</t>
  </si>
  <si>
    <t xml:space="preserve">VERONIQ MINI 21 TABLETAS(M)</t>
  </si>
  <si>
    <t xml:space="preserve">VERONIQ MINI 21 TABLETAS(M) medicamento original. Consulta a tu farmacéutico. • Entrega 45-90 min • Original sellado.</t>
  </si>
  <si>
    <t xml:space="preserve">valsartan-80-mg-14-tabletas</t>
  </si>
  <si>
    <t xml:space="preserve">VALSARTAN 80 MG 14 TABLETAS</t>
  </si>
  <si>
    <t xml:space="preserve">80 mg · 14 Tabletas</t>
  </si>
  <si>
    <t xml:space="preserve">VALSARTAN 80 MG 14 TABLETAS medicamento original. Consulta a tu farmacéutico. • Entrega 45-90 min • Original sellado.</t>
  </si>
  <si>
    <t xml:space="preserve">valsartan-160-mg-30-tbs</t>
  </si>
  <si>
    <t xml:space="preserve">VALSARTAN 160 MG 30 TBS</t>
  </si>
  <si>
    <t xml:space="preserve">160 mg · 30 Tabletas</t>
  </si>
  <si>
    <t xml:space="preserve">VALSARTAN 160 MG 30 TBS medicamento original. Consulta a tu farmacéutico. • Entrega 45-90 min • Original sellado.</t>
  </si>
  <si>
    <t xml:space="preserve">urovital-cramberry-blister-60-capsulas</t>
  </si>
  <si>
    <t xml:space="preserve">UROVITAL CRAMBERRY BLISTER 60 CAPSULAS</t>
  </si>
  <si>
    <t xml:space="preserve">60 Cápsulas</t>
  </si>
  <si>
    <t xml:space="preserve">UROVITAL CRAMBERRY BLISTER 60 CAPSULAS complemento nutricional. • Entrega 45-90 min • Original sellado.</t>
  </si>
  <si>
    <t xml:space="preserve">ukol-d-expectorante-sol-oral-125-ml</t>
  </si>
  <si>
    <t xml:space="preserve">UKOL-D EXPECTORANTE SOL.ORAL 125 ML</t>
  </si>
  <si>
    <t xml:space="preserve">125 ml</t>
  </si>
  <si>
    <t xml:space="preserve">UKOL-D EXPECTORANTE SOL.ORAL 125 ML medicamento original. Consulta a tu farmacéutico. • Entrega 45-90 min • Original sellado.</t>
  </si>
  <si>
    <t xml:space="preserve">tukhelix-expectorante-120-ml</t>
  </si>
  <si>
    <t xml:space="preserve">TUKHELIX EXPECTORANTE 120 ML</t>
  </si>
  <si>
    <t xml:space="preserve">120 ml</t>
  </si>
  <si>
    <t xml:space="preserve">TUKHELIX EXPECTORANTE 120 ML medicamento original. Consulta a tu farmacéutico. • Entrega 45-90 min • Original sellado.</t>
  </si>
  <si>
    <t xml:space="preserve">triple-omega-3-6-9-60-softgels</t>
  </si>
  <si>
    <t xml:space="preserve">TRIPLE OMEGA 3-6-9 60 SOFTGELS</t>
  </si>
  <si>
    <t xml:space="preserve">TRIPLE OMEGA 3-6-9 60 SOFTGELS complemento nutricional. • Entrega 45-90 min • Original sellado.</t>
  </si>
  <si>
    <t xml:space="preserve">trimebutina-simeticon-200-120mg-30tbs</t>
  </si>
  <si>
    <t xml:space="preserve">TRIMEBUTINA SIMETICON.200/120MG 30TBS</t>
  </si>
  <si>
    <t xml:space="preserve">120 mg · 30 unidades</t>
  </si>
  <si>
    <t xml:space="preserve">TRIMEBUTINA SIMETICON.200/120MG 30TBS medicamento original. Consulta a tu farmacéutico. • Entrega 45-90 min • Original sellado.</t>
  </si>
  <si>
    <t xml:space="preserve">trimebutina-200-mg-30-tabletas</t>
  </si>
  <si>
    <t xml:space="preserve">TRIMEBUTINA 200 MG 30 TABLETAS</t>
  </si>
  <si>
    <t xml:space="preserve">200 mg · 30 Tabletas</t>
  </si>
  <si>
    <t xml:space="preserve">TRIMEBUTINA 200 MG 30 TABLETAS medicamento original. Consulta a tu farmacéutico. • Entrega 45-90 min • Original sellado.</t>
  </si>
  <si>
    <t xml:space="preserve">trigentax-crema-40-gr</t>
  </si>
  <si>
    <t xml:space="preserve">TRIGENTAX CREMA 40 GR</t>
  </si>
  <si>
    <t xml:space="preserve">Trigentax</t>
  </si>
  <si>
    <t xml:space="preserve">TRIGENTAX CREMA 40 GR medicamento original. Consulta a tu farmacéutico. • Entrega 45-90 min • Original sellado.</t>
  </si>
  <si>
    <t xml:space="preserve">trazidex-ofteno-5-ml</t>
  </si>
  <si>
    <t xml:space="preserve">TRAZIDEX OFTENO 5 ML</t>
  </si>
  <si>
    <t xml:space="preserve">5 ml</t>
  </si>
  <si>
    <t xml:space="preserve">TRAZIDEX OFTENO 5 ML medicamento original. Consulta a tu farmacéutico. • Entrega 45-90 min • Original sellado.</t>
  </si>
  <si>
    <t xml:space="preserve">ravad-colon-peg-4-sobres</t>
  </si>
  <si>
    <t xml:space="preserve">RAVAD COLON PEG 4 SOBRES</t>
  </si>
  <si>
    <t xml:space="preserve">4 Sobres</t>
  </si>
  <si>
    <t xml:space="preserve">RAVAD COLON PEG 4 SOBRES complemento nutricional. • Entrega 45-90 min • Original sellado.</t>
  </si>
  <si>
    <t xml:space="preserve">traumeel-gotas-30-mililitros-3</t>
  </si>
  <si>
    <t xml:space="preserve">TRAUMEEL GOTAS 30 MILILITROS(3%+)</t>
  </si>
  <si>
    <t xml:space="preserve">Gotas</t>
  </si>
  <si>
    <t xml:space="preserve">TRAUMEEL GOTAS 30 MILILITROS(3%+) medicamento original. Consulta a tu farmacéutico. • Entrega 45-90 min • Original sellado.</t>
  </si>
  <si>
    <t xml:space="preserve">rat-nutribela-pro-hialuronico</t>
  </si>
  <si>
    <t xml:space="preserve">RAT.NUTRIBELA PRO HIALURONICO</t>
  </si>
  <si>
    <t xml:space="preserve">RAT.NUTRIBELA PRO HIALURONICO cuidado diario. • Entrega 45-90 min • Original sellado.</t>
  </si>
  <si>
    <t xml:space="preserve">tramadol-50-mg-10-capsulas</t>
  </si>
  <si>
    <t xml:space="preserve">TRAMADOL 50 MG 10 CAPSULAS</t>
  </si>
  <si>
    <t xml:space="preserve">50 mg · 10 Cápsulas</t>
  </si>
  <si>
    <t xml:space="preserve">TRAMADOL 50 MG 10 CAPSULAS medicamento original. Consulta a tu farmacéutico. • Entrega 45-90 min • Original sellado.</t>
  </si>
  <si>
    <t xml:space="preserve">tramadol-100-mg-gotas-10-ml</t>
  </si>
  <si>
    <t xml:space="preserve">TRAMADOL 100 MG GOTAS 10 ML</t>
  </si>
  <si>
    <t xml:space="preserve">100 mg · 10 ml · Gotas</t>
  </si>
  <si>
    <t xml:space="preserve">TRAMADOL 100 MG GOTAS 10 ML medicamento original. Consulta a tu farmacéutico. • Entrega 45-90 min • Original sellado.</t>
  </si>
  <si>
    <t xml:space="preserve">tobraoftal-0-3-gotas</t>
  </si>
  <si>
    <t xml:space="preserve">TOBRAOFTAL 0.3 % GOTAS</t>
  </si>
  <si>
    <t xml:space="preserve">TOBRAOFTAL 0.3 % GOTAS medicamento original. Consulta a tu farmacéutico. • Entrega 45-90 min • Original sellado.</t>
  </si>
  <si>
    <t xml:space="preserve">diovan-80-mg-28-tabletas</t>
  </si>
  <si>
    <t xml:space="preserve">DIOVAN 80 MG 28 TABLETAS</t>
  </si>
  <si>
    <t xml:space="preserve">80 mg · 28 Tabletas</t>
  </si>
  <si>
    <t xml:space="preserve">DIOVAN 80 MG 28 TABLETAS medicamento original. Consulta a tu farmacéutico. • Entrega 45-90 min • Original sellado.</t>
  </si>
  <si>
    <t xml:space="preserve">dolex-500-mg-200-tabletas</t>
  </si>
  <si>
    <t xml:space="preserve">DOLEX 500 MG 200 TABLETAS</t>
  </si>
  <si>
    <t xml:space="preserve">Dolex</t>
  </si>
  <si>
    <t xml:space="preserve">500 mg · 200 Tabletas</t>
  </si>
  <si>
    <t xml:space="preserve">DOLEX 500 MG 200 TABLETAS medicamento original. Consulta a tu farmacéutico. • Entrega 45-90 min • Original sellado.</t>
  </si>
  <si>
    <t xml:space="preserve">dolex-activegel-10-capsulas-liquidas</t>
  </si>
  <si>
    <t xml:space="preserve">DOLEX ACTIVEGEL 10 CAPSULAS LIQUIDAS</t>
  </si>
  <si>
    <t xml:space="preserve">DOLEX ACTIVEGEL 10 CAPSULAS LIQUIDAS medicamento original. Consulta a tu farmacéutico. • Entrega 45-90 min • Original sellado.</t>
  </si>
  <si>
    <t xml:space="preserve">dolex-avanzado-500-mg-100-tabletas-recub</t>
  </si>
  <si>
    <t xml:space="preserve">DOLEX AVANZADO 500 MG 100 TABLETAS RECUB</t>
  </si>
  <si>
    <t xml:space="preserve">DOLEX AVANZADO 500 MG 100 TABLETAS RECUB medicamento original. Consulta a tu farmacéutico. • Entrega 45-90 min • Original sellado.</t>
  </si>
  <si>
    <t xml:space="preserve">dolex-avanzado-16-tabletas</t>
  </si>
  <si>
    <t xml:space="preserve">DOLEX AVANZADO 16 TABLETAS</t>
  </si>
  <si>
    <t xml:space="preserve">16 Tabletas</t>
  </si>
  <si>
    <t xml:space="preserve">DOLEX AVANZADO 16 TABLETAS medicamento original. Consulta a tu farmacéutico. • Entrega 45-90 min • Original sellado.</t>
  </si>
  <si>
    <t xml:space="preserve">dolex-bebes-60-ml-jarabe</t>
  </si>
  <si>
    <t xml:space="preserve">DOLEX BEBES 60 ML JARABE</t>
  </si>
  <si>
    <t xml:space="preserve">60 ml · Jarabe</t>
  </si>
  <si>
    <t xml:space="preserve">DOLEX BEBES 60 ML JARABE cuidado suave bebé. • Entrega 45-90 min • Original sellado.</t>
  </si>
  <si>
    <t xml:space="preserve">dolex-forte-nf-14-tabletas</t>
  </si>
  <si>
    <t xml:space="preserve">DOLEX FORTE NF 14 TABLETAS</t>
  </si>
  <si>
    <t xml:space="preserve">14 Tabletas</t>
  </si>
  <si>
    <t xml:space="preserve">DOLEX FORTE NF 14 TABLETAS medicamento original. Consulta a tu farmacéutico. • Entrega 45-90 min • Original sellado.</t>
  </si>
  <si>
    <t xml:space="preserve">donabella-21-comprimidos</t>
  </si>
  <si>
    <t xml:space="preserve">DONABELLA 21 COMPRIMIDOS</t>
  </si>
  <si>
    <t xml:space="preserve">DONABELLA 21 COMPRIMIDOS medicamento original. Consulta a tu farmacéutico. • Entrega 45-90 min • Original sellado.</t>
  </si>
  <si>
    <t xml:space="preserve">enterogermina-5-ml-10-amp-bebibles</t>
  </si>
  <si>
    <t xml:space="preserve">ENTEROGERMINA 5 ML 10 AMP BEBIBLES</t>
  </si>
  <si>
    <t xml:space="preserve">Enterogermina</t>
  </si>
  <si>
    <t xml:space="preserve">5 ml · Ampollas</t>
  </si>
  <si>
    <t xml:space="preserve">gastrointestinal</t>
  </si>
  <si>
    <t xml:space="preserve">ENTEROGERMINA 5 ML 10 AMP BEBIBLES complemento nutricional. • Entrega 45-90 min • Original sellado.</t>
  </si>
  <si>
    <t xml:space="preserve">enterogermina-plus-5-ampollas-bebibles</t>
  </si>
  <si>
    <t xml:space="preserve">ENTEROGERMINA PLUS 5 AMPOLLAS BEBIBLES</t>
  </si>
  <si>
    <t xml:space="preserve">ENTEROGERMINA PLUS 5 AMPOLLAS BEBIBLES complemento nutricional. • Entrega 45-90 min • Original sellado.</t>
  </si>
  <si>
    <t xml:space="preserve">erassin-100-mg-2-tabletas</t>
  </si>
  <si>
    <t xml:space="preserve">ERASSIN 100 MG 2 TABLETAS</t>
  </si>
  <si>
    <t xml:space="preserve">100 mg · 2 Tabletas</t>
  </si>
  <si>
    <t xml:space="preserve">ERASSIN 100 MG 2 TABLETAS medicamento original. Consulta a tu farmacéutico. • Entrega 45-90 min • Original sellado.</t>
  </si>
  <si>
    <t xml:space="preserve">eroxim-100-mg-1-tableta</t>
  </si>
  <si>
    <t xml:space="preserve">EROXIM 100 MG 1 TABLETA</t>
  </si>
  <si>
    <t xml:space="preserve">100 mg · Tabletas</t>
  </si>
  <si>
    <t xml:space="preserve">salud-sexual</t>
  </si>
  <si>
    <t xml:space="preserve">EROXIM 100 MG 1 TABLETA medicamento original. Consulta a tu farmacéutico. • Entrega 45-90 min • Original sellado.</t>
  </si>
  <si>
    <t xml:space="preserve">eroxim-50-mg-2-tabletas</t>
  </si>
  <si>
    <t xml:space="preserve">EROXIM 50 MG 2 TABLETAS</t>
  </si>
  <si>
    <t xml:space="preserve">50 mg · 2 Tabletas</t>
  </si>
  <si>
    <t xml:space="preserve">EROXIM 50 MG 2 TABLETAS medicamento original. Consulta a tu farmacéutico. • Entrega 45-90 min • Original sellado.</t>
  </si>
  <si>
    <t xml:space="preserve">esomeprazol-20-mg-30-tabletas</t>
  </si>
  <si>
    <t xml:space="preserve">ESOMEPRAZOL 20 MG 30 TABLETAS</t>
  </si>
  <si>
    <t xml:space="preserve">ESOMEPRAZOL 20 MG 30 TABLETAS medicamento original. Consulta a tu farmacéutico. • Entrega 45-90 min • Original sellado.</t>
  </si>
  <si>
    <t xml:space="preserve">esomeprazol-40-mg-14-tabletas</t>
  </si>
  <si>
    <t xml:space="preserve">ESOMEPRAZOL 40 MG 14 TABLETAS</t>
  </si>
  <si>
    <t xml:space="preserve">40 mg · 14 Tabletas</t>
  </si>
  <si>
    <t xml:space="preserve">ESOMEPRAZOL 40 MG 14 TABLETAS medicamento original. Consulta a tu farmacéutico. • Entrega 45-90 min • Original sellado.</t>
  </si>
  <si>
    <t xml:space="preserve">espuma-afeitar-gillette-p-sensible150-gr</t>
  </si>
  <si>
    <t xml:space="preserve">ESPUMA AFEITAR GILLETTE P.SENSIBLE150 GR</t>
  </si>
  <si>
    <t xml:space="preserve">ESPUMA AFEITAR GILLETTE P.SENSIBLE150 GR cuidado diario. • Entrega 45-90 min • Original sellado.</t>
  </si>
  <si>
    <t xml:space="preserve">etoricoxib-60-mg-14-tbs</t>
  </si>
  <si>
    <t xml:space="preserve">ETORICOXIB 60 MG 14 TBS</t>
  </si>
  <si>
    <t xml:space="preserve">60 mg · 14 Tabletas</t>
  </si>
  <si>
    <t xml:space="preserve">ETORICOXIB 60 MG 14 TBS medicamento original. Consulta a tu farmacéutico. • Entrega 45-90 min • Original sellado.</t>
  </si>
  <si>
    <t xml:space="preserve">etoricoxib-120-mg-7-tabletas-momenta</t>
  </si>
  <si>
    <t xml:space="preserve">ETORICOXIB 120 MG 7 TABLETAS MOMENTA</t>
  </si>
  <si>
    <t xml:space="preserve">120 mg · 7 Tabletas</t>
  </si>
  <si>
    <t xml:space="preserve">ETORICOXIB 120 MG 7 TABLETAS MOMENTA medicamento original. Consulta a tu farmacéutico. • Entrega 45-90 min • Original sellado.</t>
  </si>
  <si>
    <t xml:space="preserve">etoricoxib-90-mg-14-tabletas-momenta</t>
  </si>
  <si>
    <t xml:space="preserve">ETORICOXIB 90 MG 14 TABLETAS MOMENTA</t>
  </si>
  <si>
    <t xml:space="preserve">90 mg · 14 Tabletas</t>
  </si>
  <si>
    <t xml:space="preserve">ETORICOXIB 90 MG 14 TABLETAS MOMENTA medicamento original. Consulta a tu farmacéutico. • Entrega 45-90 min • Original sellado.</t>
  </si>
  <si>
    <t xml:space="preserve">lub-int-durex-gel-cosquil-d-placer-50-gr</t>
  </si>
  <si>
    <t xml:space="preserve">LUB INT DUREX GEL COSQUIL D PLACER 50 GR</t>
  </si>
  <si>
    <t xml:space="preserve">Durex</t>
  </si>
  <si>
    <t xml:space="preserve">50 g · Gel</t>
  </si>
  <si>
    <t xml:space="preserve">LUB INT DUREX GEL COSQUIL D PLACER 50 GR medicamento original. Consulta a tu farmacéutico. • Entrega 45-90 min • Original sellado.</t>
  </si>
  <si>
    <t xml:space="preserve">genoprazol-20-mg-14-capsulas</t>
  </si>
  <si>
    <t xml:space="preserve">GENOPRAZOL 20 MG 14 CAPSULAS</t>
  </si>
  <si>
    <t xml:space="preserve">20 mg · 14 Cápsulas</t>
  </si>
  <si>
    <t xml:space="preserve">GENOPRAZOL 20 MG 14 CAPSULAS complemento nutricional. • Entrega 45-90 min • Original sellado.</t>
  </si>
  <si>
    <t xml:space="preserve">shot-b-30-capsulas-2</t>
  </si>
  <si>
    <t xml:space="preserve">sildenafil-50-mg-2-tabletas</t>
  </si>
  <si>
    <t xml:space="preserve">SILDENAFIL 50 MG 2 TABLETAS</t>
  </si>
  <si>
    <t xml:space="preserve">SILDENAFIL 50 MG 2 TABLETAS medicamento original. Consulta a tu farmacéutico. • Entrega 45-90 min • Original sellado.</t>
  </si>
  <si>
    <t xml:space="preserve">siligas-gotas-30-ml</t>
  </si>
  <si>
    <t xml:space="preserve">SILIGAS GOTAS 30 ML</t>
  </si>
  <si>
    <t xml:space="preserve">SILIGAS GOTAS 30 ML cuidado suave bebé. • Entrega 45-90 min • Original sellado.</t>
  </si>
  <si>
    <t xml:space="preserve">sinutab-plus-12-tabletas</t>
  </si>
  <si>
    <t xml:space="preserve">SINUTAB PLUS 12 TABLETAS</t>
  </si>
  <si>
    <t xml:space="preserve">Sinutab</t>
  </si>
  <si>
    <t xml:space="preserve">12 Tabletas</t>
  </si>
  <si>
    <t xml:space="preserve">SINUTAB PLUS 12 TABLETAS medicamento original. Consulta a tu farmacéutico. • Entrega 45-90 min • Original sellado.</t>
  </si>
  <si>
    <t xml:space="preserve">slinda-drospirenona-4mg-28-tabletas</t>
  </si>
  <si>
    <t xml:space="preserve">SLINDA DROSPIRENONA 4MG 28 TABLETAS</t>
  </si>
  <si>
    <t xml:space="preserve">Slinda</t>
  </si>
  <si>
    <t xml:space="preserve">4 mg · 28 Tabletas</t>
  </si>
  <si>
    <t xml:space="preserve">SLINDA DROSPIRENONA 4MG 28 TABLETAS medicamento original. Consulta a tu farmacéutico. • Entrega 45-90 min • Original sellado.</t>
  </si>
  <si>
    <t xml:space="preserve">stamyl-forte-20-tabletas</t>
  </si>
  <si>
    <t xml:space="preserve">STAMYL FORTE 20 TABLETAS</t>
  </si>
  <si>
    <t xml:space="preserve">STAMYL FORTE 20 TABLETAS medicamento original. Consulta a tu farmacéutico. • Entrega 45-90 min • Original sellado.</t>
  </si>
  <si>
    <t xml:space="preserve">electrolit-hidratante-mora-azul-625-ml</t>
  </si>
  <si>
    <t xml:space="preserve">ELECTROLIT HIDRATANTE MORA AZUL 625 ML</t>
  </si>
  <si>
    <t xml:space="preserve">Electrolit</t>
  </si>
  <si>
    <t xml:space="preserve">625 ml</t>
  </si>
  <si>
    <t xml:space="preserve">ELECTROLIT HIDRATANTE MORA AZUL 625 ML complemento nutricional. • Entrega 45-90 min • Original sellado.</t>
  </si>
  <si>
    <t xml:space="preserve">hidraplus-75-zinc-uva-400-ml-suero</t>
  </si>
  <si>
    <t xml:space="preserve">HIDRAPLUS 75 ZINC UVA 400 ML SUERO</t>
  </si>
  <si>
    <t xml:space="preserve">HIDRAPLUS 75 ZINC UVA 400 ML SUERO complemento nutricional. • Entrega 45-90 min • Original sellado.</t>
  </si>
  <si>
    <t xml:space="preserve">systane-gotas-15-ml</t>
  </si>
  <si>
    <t xml:space="preserve">SYSTANE GOTAS 15 ML</t>
  </si>
  <si>
    <t xml:space="preserve">SYSTANE GOTAS 15 ML medicamento original. Consulta a tu farmacéutico. • Entrega 45-90 min • Original sellado.</t>
  </si>
  <si>
    <t xml:space="preserve">eutirox-100-mcg-50-tbs</t>
  </si>
  <si>
    <t xml:space="preserve">EUTIROX 100 MCG 50 TBS</t>
  </si>
  <si>
    <t xml:space="preserve">100 mcg · 50 Tabletas</t>
  </si>
  <si>
    <t xml:space="preserve">tiroides-hormonal</t>
  </si>
  <si>
    <t xml:space="preserve">EUTIROX 100 MCG 50 TBS medicamento original. Consulta a tu farmacéutico. • Entrega 45-90 min • Original sellado.</t>
  </si>
  <si>
    <t xml:space="preserve">eutirox-112-mcg-50-tbs-3</t>
  </si>
  <si>
    <t xml:space="preserve">EUTIROX 112 MCG 50 TBS(3%+)</t>
  </si>
  <si>
    <t xml:space="preserve">112 mcg · 50 Tabletas</t>
  </si>
  <si>
    <t xml:space="preserve">EUTIROX 112 MCG 50 TBS(3%+) medicamento original. Consulta a tu farmacéutico. • Entrega 45-90 min • Original sellado.</t>
  </si>
  <si>
    <t xml:space="preserve">eutirox-50-mcg-50-tbs</t>
  </si>
  <si>
    <t xml:space="preserve">EUTIROX 50 MCG 50 TBS</t>
  </si>
  <si>
    <t xml:space="preserve">50 mcg · 50 Tabletas</t>
  </si>
  <si>
    <t xml:space="preserve">EUTIROX 50 MCG 50 TBS medicamento original. Consulta a tu farmacéutico. • Entrega 45-90 min • Original sellado.</t>
  </si>
  <si>
    <t xml:space="preserve">eutirox-75-mcg-50-tbs</t>
  </si>
  <si>
    <t xml:space="preserve">EUTIROX 75 MCG 50 TBS</t>
  </si>
  <si>
    <t xml:space="preserve">75 mcg · 50 Tabletas</t>
  </si>
  <si>
    <t xml:space="preserve">EUTIROX 75 MCG 50 TBS medicamento original. Consulta a tu farmacéutico. • Entrega 45-90 min • Original sellado.</t>
  </si>
  <si>
    <t xml:space="preserve">evinet-0-75-mg-4-tabletas</t>
  </si>
  <si>
    <t xml:space="preserve">EVINET 0.75 MG 4 TABLETAS</t>
  </si>
  <si>
    <t xml:space="preserve">0.75 mg · 4 Tabletas</t>
  </si>
  <si>
    <t xml:space="preserve">EVINET 0.75 MG 4 TABLETAS medicamento original. Consulta a tu farmacéutico. • Entrega 45-90 min • Original sellado.</t>
  </si>
  <si>
    <t xml:space="preserve">eye-zul-solucion-oftalmica-frasco-x-7-ml</t>
  </si>
  <si>
    <t xml:space="preserve">EYE ZUL SOLUCION OFTALMICA FRASCO X 7 ML</t>
  </si>
  <si>
    <t xml:space="preserve">7 ml · 7 unidades</t>
  </si>
  <si>
    <t xml:space="preserve">salud-visual</t>
  </si>
  <si>
    <t xml:space="preserve">EYE ZUL SOLUCION OFTALMICA FRASCO X 7 ML medicamento original. Consulta a tu farmacéutico. • Entrega 45-90 min • Original sellado.</t>
  </si>
  <si>
    <t xml:space="preserve">facetix-mini-28-tbs</t>
  </si>
  <si>
    <t xml:space="preserve">FACETIX MINI 28 TBS</t>
  </si>
  <si>
    <t xml:space="preserve">FACETIX MINI 28 TBS medicamento original. Consulta a tu farmacéutico. • Entrega 45-90 min • Original sellado.</t>
  </si>
  <si>
    <t xml:space="preserve">gaviscon-doble-accion-susp-10ml</t>
  </si>
  <si>
    <t xml:space="preserve">GAVISCON DOBLE ACCION SUSP. 10ML</t>
  </si>
  <si>
    <t xml:space="preserve">10 ml · Suspensión</t>
  </si>
  <si>
    <t xml:space="preserve">GAVISCON DOBLE ACCION SUSP. 10ML complemento nutricional. • Entrega 45-90 min • Original sellado.</t>
  </si>
  <si>
    <t xml:space="preserve">gaviscon-doble-accion-suspension-300-ml</t>
  </si>
  <si>
    <t xml:space="preserve">GAVISCON DOBLE ACCION SUSPENSION 300 ML</t>
  </si>
  <si>
    <t xml:space="preserve">300 ml · Suspensión</t>
  </si>
  <si>
    <t xml:space="preserve">GAVISCON DOBLE ACCION SUSPENSION 300 ML complemento nutricional. • Entrega 45-90 min • Original sellado.</t>
  </si>
  <si>
    <t xml:space="preserve">gastrofast-advance-12-sobres</t>
  </si>
  <si>
    <t xml:space="preserve">GASTROFAST ADVANCE 12 SOBRES</t>
  </si>
  <si>
    <t xml:space="preserve">12 Sobres</t>
  </si>
  <si>
    <t xml:space="preserve">GASTROFAST ADVANCE 12 SOBRES complemento nutricional. • Entrega 45-90 min • Original sellado.</t>
  </si>
  <si>
    <t xml:space="preserve">gaap-ofteno-3-ml</t>
  </si>
  <si>
    <t xml:space="preserve">GAAP OFTENO 3 ML</t>
  </si>
  <si>
    <t xml:space="preserve">3 ml</t>
  </si>
  <si>
    <t xml:space="preserve">GAAP OFTENO 3 ML medicamento original. Consulta a tu farmacéutico. • Entrega 45-90 min • Original sellado.</t>
  </si>
  <si>
    <t xml:space="preserve">femelin-0-5-ml-1-ampolla</t>
  </si>
  <si>
    <t xml:space="preserve">FEMELIN 0.5 ML 1 AMPOLLA</t>
  </si>
  <si>
    <t xml:space="preserve">0.5 ml · Ampollas</t>
  </si>
  <si>
    <t xml:space="preserve">FEMELIN 0.5 ML 1 AMPOLLA medicamento original. Consulta a tu farmacéutico. • Entrega 45-90 min • Original sellado.</t>
  </si>
  <si>
    <t xml:space="preserve">femelle-20-cd-28-tbs</t>
  </si>
  <si>
    <t xml:space="preserve">FEMELLE 20 CD 28 TBS</t>
  </si>
  <si>
    <t xml:space="preserve">FEMELLE 20 CD 28 TBS medicamento original. Consulta a tu farmacéutico. • Entrega 45-90 min • Original sellado.</t>
  </si>
  <si>
    <t xml:space="preserve">fencafen-100-mg-20-tabletas</t>
  </si>
  <si>
    <t xml:space="preserve">FENCAFEN 100 MG 20 TABLETAS</t>
  </si>
  <si>
    <t xml:space="preserve">100 mg · 20 Tabletas</t>
  </si>
  <si>
    <t xml:space="preserve">FENCAFEN 100 MG 20 TABLETAS medicamento original. Consulta a tu farmacéutico. • Entrega 45-90 min • Original sellado.</t>
  </si>
  <si>
    <t xml:space="preserve">fexofenadina-30mg-5ml-jarabe-150-ml</t>
  </si>
  <si>
    <t xml:space="preserve">FEXOFENADINA 30Mg/5ML JARABE 150 ML</t>
  </si>
  <si>
    <t xml:space="preserve">30 mg · 5 ml · Jarabe</t>
  </si>
  <si>
    <t xml:space="preserve">Home / Medicamentos / FEXOFENADINA 30Mg/5ML JARABE 150 ML Medicamentos FEXOFENADINA 30Mg/5ML JARABE 150 ML Con envío gratuito Category: Medicamentos Pago seguro garantizado</t>
  </si>
  <si>
    <t xml:space="preserve">fisiomax-lubricante-intimo-gel-50-gr</t>
  </si>
  <si>
    <t xml:space="preserve">FISIOMAX LUBRICANTE INTIMO GEL 50 GR</t>
  </si>
  <si>
    <t xml:space="preserve">FISIOMAX LUBRICANTE INTIMO GEL 50 GR cuidado diario. • Entrega 45-90 min • Original sellado.</t>
  </si>
  <si>
    <t xml:space="preserve">fitostimoline-crema-15-gramos</t>
  </si>
  <si>
    <t xml:space="preserve">FITOSTIMOLINE CREMA 15 GRAMOS</t>
  </si>
  <si>
    <t xml:space="preserve">Crema</t>
  </si>
  <si>
    <t xml:space="preserve">FITOSTIMOLINE CREMA 15 GRAMOS medicamento original. Consulta a tu farmacéutico. • Entrega 45-90 min • Original sellado.</t>
  </si>
  <si>
    <t xml:space="preserve">fitostimoline-gel-15-gr</t>
  </si>
  <si>
    <t xml:space="preserve">FITOSTIMOLINE GEL 15 GR</t>
  </si>
  <si>
    <t xml:space="preserve">FITOSTIMOLINE GEL 15 GR medicamento original. Consulta a tu farmacéutico. • Entrega 45-90 min • Original sellado.</t>
  </si>
  <si>
    <t xml:space="preserve">floratil-250-mg-10-capsulas</t>
  </si>
  <si>
    <t xml:space="preserve">FLORATIL 250 MG 10 CAPSULAS</t>
  </si>
  <si>
    <t xml:space="preserve">Floratil</t>
  </si>
  <si>
    <t xml:space="preserve">250 mg · 10 Cápsulas</t>
  </si>
  <si>
    <t xml:space="preserve">FLORATIL 250 MG 10 CAPSULAS complemento nutricional. • Entrega 45-90 min • Original sellado.</t>
  </si>
  <si>
    <t xml:space="preserve">floratil-250-mg-10-sbs</t>
  </si>
  <si>
    <t xml:space="preserve">FLORATIL 250 MG 10 SBS</t>
  </si>
  <si>
    <t xml:space="preserve">250 mg · 10 Sobres</t>
  </si>
  <si>
    <t xml:space="preserve">FLORATIL 250 MG 10 SBS complemento nutricional. • Entrega 45-90 min • Original sellado.</t>
  </si>
  <si>
    <t xml:space="preserve">fluconazol-200-mg-4-capsulas</t>
  </si>
  <si>
    <t xml:space="preserve">FLUCONAZOL 200 MG 4 CAPSULAS</t>
  </si>
  <si>
    <t xml:space="preserve">200 mg · 4 Cápsulas</t>
  </si>
  <si>
    <t xml:space="preserve">FLUCONAZOL 200 MG 4 CAPSULAS medicamento original. Consulta a tu farmacéutico. • Entrega 45-90 min • Original sellado.</t>
  </si>
  <si>
    <t xml:space="preserve">fluimucil-ninos-jarabe-2-120-ml</t>
  </si>
  <si>
    <t xml:space="preserve">FLUIMUCIL NINOS JARABE 2% 120 ML.</t>
  </si>
  <si>
    <t xml:space="preserve">FLUIMUCIL NINOS JARABE 2% 120 ML. cuidado suave bebé. • Entrega 45-90 min • Original sellado.</t>
  </si>
  <si>
    <t xml:space="preserve">fluimucil-adulto-jarabe-4-120-ml</t>
  </si>
  <si>
    <t xml:space="preserve">FLUIMUCIL ADULTO JARABE 4% 120 ML</t>
  </si>
  <si>
    <t xml:space="preserve">FLUIMUCIL ADULTO JARABE 4% 120 ML medicamento original. Consulta a tu farmacéutico. • Entrega 45-90 min • Original sellado.</t>
  </si>
  <si>
    <t xml:space="preserve">fluimucil-600-mg-30-sbs</t>
  </si>
  <si>
    <t xml:space="preserve">FLUIMUCIL 600 MG 30 SBS</t>
  </si>
  <si>
    <t xml:space="preserve">600 mg · 30 Sobres</t>
  </si>
  <si>
    <t xml:space="preserve">FLUIMUCIL 600 MG 30 SBS medicamento original. Consulta a tu farmacéutico. • Entrega 45-90 min • Original sellado.</t>
  </si>
  <si>
    <t xml:space="preserve">fluoxetina-20-mg-10-capsulas-ag</t>
  </si>
  <si>
    <t xml:space="preserve">FLUOXETINA 20 MG 10 CAPSULAS AG</t>
  </si>
  <si>
    <t xml:space="preserve">20 mg · 10 Cápsulas</t>
  </si>
  <si>
    <t xml:space="preserve">FLUOXETINA 20 MG 10 CAPSULAS AG medicamento original. Consulta a tu farmacéutico. • Entrega 45-90 min • Original sellado.</t>
  </si>
  <si>
    <t xml:space="preserve">gel-ego-for-men-attraction-pote-110-ml</t>
  </si>
  <si>
    <t xml:space="preserve">GEL EGO FOR MEN ATTRACTION POTE 110 ML</t>
  </si>
  <si>
    <t xml:space="preserve">110 ml · Gel</t>
  </si>
  <si>
    <t xml:space="preserve">GEL EGO FOR MEN ATTRACTION POTE 110 ML cuidado diario. • Entrega 45-90 min • Original sellado.</t>
  </si>
  <si>
    <t xml:space="preserve">gentacrem-40-gr</t>
  </si>
  <si>
    <t xml:space="preserve">GENTACREM 40 GR</t>
  </si>
  <si>
    <t xml:space="preserve">40 g</t>
  </si>
  <si>
    <t xml:space="preserve">GENTACREM 40 GR medicamento original. Consulta a tu farmacéutico. • Entrega 45-90 min • Original sellado.</t>
  </si>
  <si>
    <t xml:space="preserve">gentamicina-0-3-oftalmica-6-ml</t>
  </si>
  <si>
    <t xml:space="preserve">GENTAMICINA 0.3% OFTALMICA 6 ML</t>
  </si>
  <si>
    <t xml:space="preserve">6 ml</t>
  </si>
  <si>
    <t xml:space="preserve">GENTAMICINA 0.3% OFTALMICA 6 ML medicamento original. Consulta a tu farmacéutico. • Entrega 45-90 min • Original sellado.</t>
  </si>
  <si>
    <t xml:space="preserve">gestavit-dha-30-capsulas-3</t>
  </si>
  <si>
    <t xml:space="preserve">GESTAVIT DHA 30 CAPSULAS (3%+)</t>
  </si>
  <si>
    <t xml:space="preserve">GESTAVIT DHA 30 CAPSULAS (3%+) cuidado suave bebé. • Entrega 45-90 min • Original sellado.</t>
  </si>
  <si>
    <t xml:space="preserve">ginkgo-biloba-40-mg-80-tabletas</t>
  </si>
  <si>
    <t xml:space="preserve">GINKGO BILOBA 40 MG 80 TABLETAS</t>
  </si>
  <si>
    <t xml:space="preserve">40 mg · 80 Tabletas</t>
  </si>
  <si>
    <t xml:space="preserve">GINKGO BILOBA 40 MG 80 TABLETAS complemento nutricional. • Entrega 45-90 min • Original sellado.</t>
  </si>
  <si>
    <t xml:space="preserve">gripp-heel-50-tabletas</t>
  </si>
  <si>
    <t xml:space="preserve">GRIPP HEEL 50 TABLETAS</t>
  </si>
  <si>
    <t xml:space="preserve">50 Tabletas</t>
  </si>
  <si>
    <t xml:space="preserve">GRIPP HEEL 50 TABLETAS medicamento original. Consulta a tu farmacéutico. • Entrega 45-90 min • Original sellado.</t>
  </si>
  <si>
    <t xml:space="preserve">hidrocortisona-1-crema-15-gr</t>
  </si>
  <si>
    <t xml:space="preserve">HIDROCORTISONA 1% CREMA 15 GR</t>
  </si>
  <si>
    <t xml:space="preserve">HIDROCORTISONA 1% CREMA 15 GR medicamento original. Consulta a tu farmacéutico. • Entrega 45-90 min • Original sellado.</t>
  </si>
  <si>
    <t xml:space="preserve">hioscina-n-butil-bromuro-10-mg-50-tbs</t>
  </si>
  <si>
    <t xml:space="preserve">HIOSCINA N-BUTIL BROMURO 10 MG 50 TBS</t>
  </si>
  <si>
    <t xml:space="preserve">10 mg · 50 Tabletas</t>
  </si>
  <si>
    <t xml:space="preserve">HIOSCINA N-BUTIL BROMURO 10 MG 50 TBS medicamento original. Consulta a tu farmacéutico. • Entrega 45-90 min • Original sellado.</t>
  </si>
  <si>
    <t xml:space="preserve">ibuprofeno-800-mg-30-capsulas-blandas</t>
  </si>
  <si>
    <t xml:space="preserve">IBUPROFENO 800 MG 30 CAPSULAS BLANDAS</t>
  </si>
  <si>
    <t xml:space="preserve">800 mg · 30 Cápsulas</t>
  </si>
  <si>
    <t xml:space="preserve">IBUPROFENO 800 MG 30 CAPSULAS BLANDAS medicamento original. Consulta a tu farmacéutico. • Entrega 45-90 min • Original sellado.</t>
  </si>
  <si>
    <t xml:space="preserve">ibuprofeno-800-mg-50-tabletas</t>
  </si>
  <si>
    <t xml:space="preserve">IBUPROFENO 800 MG 50 TABLETAS</t>
  </si>
  <si>
    <t xml:space="preserve">800 mg · 50 Tabletas</t>
  </si>
  <si>
    <t xml:space="preserve">IBUPROFENO 800 MG 50 TABLETAS medicamento original. Consulta a tu farmacéutico. • Entrega 45-90 min • Original sellado.</t>
  </si>
  <si>
    <t xml:space="preserve">igora-brillance-d-t-901-rub-ext-cla-cen</t>
  </si>
  <si>
    <t xml:space="preserve">IGORA BRILLANCE D.T 901 RUB.EXT.CLA.CEN.</t>
  </si>
  <si>
    <t xml:space="preserve">IGORA BRILLANCE D.T 901 RUB.EXT.CLA.CEN. cuidado diario. • Entrega 45-90 min • Original sellado.</t>
  </si>
  <si>
    <t xml:space="preserve">irbesartan-150-mg-30-tabletas</t>
  </si>
  <si>
    <t xml:space="preserve">IRBESARTAN 150 MG 30 TABLETAS</t>
  </si>
  <si>
    <t xml:space="preserve">150 mg · 30 Tabletas</t>
  </si>
  <si>
    <t xml:space="preserve">IRBESARTAN 150 MG 30 TABLETAS medicamento original. Consulta a tu farmacéutico. • Entrega 45-90 min • Original sellado.</t>
  </si>
  <si>
    <t xml:space="preserve">isbela-21-tabletas</t>
  </si>
  <si>
    <t xml:space="preserve">ISBELA 21 TABLETAS</t>
  </si>
  <si>
    <t xml:space="preserve">ISBELA 21 TABLETAS medicamento original. Consulta a tu farmacéutico. • Entrega 45-90 min • Original sellado.</t>
  </si>
  <si>
    <t xml:space="preserve">noraver-gripa-fast-total-6-capsulas</t>
  </si>
  <si>
    <t xml:space="preserve">NORAVER GRIPA FAST TOTAL 6 CAPSULAS</t>
  </si>
  <si>
    <t xml:space="preserve">6 Cápsulas</t>
  </si>
  <si>
    <t xml:space="preserve">NORAVER GRIPA FAST TOTAL 6 CAPSULAS medicamento original. Consulta a tu farmacéutico. • Entrega 45-90 min • Original sellado.</t>
  </si>
  <si>
    <t xml:space="preserve">izinova-2-frascos-6-onzas-a-3</t>
  </si>
  <si>
    <t xml:space="preserve">IZINOVA 2 FRASCOS 6 ONZAS (A)(3%+)</t>
  </si>
  <si>
    <t xml:space="preserve">IZINOVA 2 FRASCOS 6 ONZAS (A)(3%+) medicamento original. Consulta a tu farmacéutico. • Entrega 45-90 min • Original sellado.</t>
  </si>
  <si>
    <t xml:space="preserve">jabon-protex-avena-110-gr</t>
  </si>
  <si>
    <t xml:space="preserve">JABON PROTEX AVENA 110 GR</t>
  </si>
  <si>
    <t xml:space="preserve">110 g</t>
  </si>
  <si>
    <t xml:space="preserve">JABON PROTEX AVENA 110 GR cuidado diario. • Entrega 45-90 min • Original sellado.</t>
  </si>
  <si>
    <t xml:space="preserve">abon-asepxia-carbon-detox-100-gr</t>
  </si>
  <si>
    <t xml:space="preserve">ABON ASEPXIA CARBON DETOX 100 GR</t>
  </si>
  <si>
    <t xml:space="preserve">ABON ASEPXIA CARBON DETOX 100 GR cuidado diario. • Entrega 45-90 min • Original sellado.</t>
  </si>
  <si>
    <t xml:space="preserve">abon-dove-baby-humectaci-sensible-75-gr</t>
  </si>
  <si>
    <t xml:space="preserve">ABON DOVE BABY HUMECTACI.SENSIBLE 75 GR</t>
  </si>
  <si>
    <t xml:space="preserve">Dove</t>
  </si>
  <si>
    <t xml:space="preserve">75 g</t>
  </si>
  <si>
    <t xml:space="preserve">desodorantes</t>
  </si>
  <si>
    <t xml:space="preserve">ABON DOVE BABY HUMECTACI.SENSIBLE 75 GR cuidado diario. • Entrega 45-90 min • Original sellado.</t>
  </si>
  <si>
    <t xml:space="preserve">jabon-dove-blanco-90-gr</t>
  </si>
  <si>
    <t xml:space="preserve">JABON DOVE BLANCO 90 GR</t>
  </si>
  <si>
    <t xml:space="preserve">90 g</t>
  </si>
  <si>
    <t xml:space="preserve">JABON DOVE BLANCO 90 GR cuidado diario. • Entrega 45-90 min • Original sellado.</t>
  </si>
  <si>
    <t xml:space="preserve">jab-intimo-nosotras-agua-de-rosas-200-ml</t>
  </si>
  <si>
    <t xml:space="preserve">JAB.INTIMO NOSOTRAS AGUA DE ROSAS 200 ML</t>
  </si>
  <si>
    <t xml:space="preserve">Nosotras</t>
  </si>
  <si>
    <t xml:space="preserve">200 ml</t>
  </si>
  <si>
    <t xml:space="preserve">higiene-femenina</t>
  </si>
  <si>
    <t xml:space="preserve">JAB.INTIMO NOSOTRAS AGUA DE ROSAS 200 ML cuidado diario. • Entrega 45-90 min • Original sellado.</t>
  </si>
  <si>
    <t xml:space="preserve">jabon-palmolive-sandia-y-lychee-110-gr</t>
  </si>
  <si>
    <t xml:space="preserve">JABON PALMOLIVE SANDIA Y LYCHEE 110 GR</t>
  </si>
  <si>
    <t xml:space="preserve">JABON PALMOLIVE SANDIA Y LYCHEE 110 GR cuidado diario. • Entrega 45-90 min • Original sellado.</t>
  </si>
  <si>
    <t xml:space="preserve">ketoprofeno-gel-2-5-50-gr</t>
  </si>
  <si>
    <t xml:space="preserve">KETOPROFENO GEL 2.5% 50 GR</t>
  </si>
  <si>
    <t xml:space="preserve">KETOPROFENO GEL 2.5% 50 GR medicamento original. Consulta a tu farmacéutico. • Entrega 45-90 min • Original sellado.</t>
  </si>
  <si>
    <t xml:space="preserve">ketotifeno-1-mg-jarabe-100-ml</t>
  </si>
  <si>
    <t xml:space="preserve">KETOTIFENO 1 MG JARABE 100 ML</t>
  </si>
  <si>
    <t xml:space="preserve">1 mg · 100 ml · Jarabe</t>
  </si>
  <si>
    <t xml:space="preserve">KETOTIFENO 1 MG JARABE 100 ML medicamento original. Consulta a tu farmacéutico. • Entrega 45-90 min • Original sellado.</t>
  </si>
  <si>
    <t xml:space="preserve">klim-1-500-gr-bolsa</t>
  </si>
  <si>
    <t xml:space="preserve">KLIM 1+ 500 GR BOLSA</t>
  </si>
  <si>
    <t xml:space="preserve">500 g</t>
  </si>
  <si>
    <t xml:space="preserve">KLIM 1+ 500 GR BOLSA cuidado suave bebé. • Entrega 45-90 min • Original sellado.</t>
  </si>
  <si>
    <t xml:space="preserve">klim-1-2000-gr-bolsa</t>
  </si>
  <si>
    <t xml:space="preserve">KLIM 1+ 2000 GR BOLSA</t>
  </si>
  <si>
    <t xml:space="preserve">2000 g</t>
  </si>
  <si>
    <t xml:space="preserve">KLIM 1+ 2000 GR BOLSA cuidado suave bebé. • Entrega 45-90 min • Original sellado.</t>
  </si>
  <si>
    <t xml:space="preserve">klim-3-500-gr-bolsa</t>
  </si>
  <si>
    <t xml:space="preserve">KLIM 3+ 500 GR BOLSA</t>
  </si>
  <si>
    <t xml:space="preserve">KLIM 3+ 500 GR BOLSA cuidado suave bebé. • Entrega 45-90 min • Original sellado.</t>
  </si>
  <si>
    <t xml:space="preserve">kola-granulada-jgb-fresa-sup-cont-380-gr</t>
  </si>
  <si>
    <t xml:space="preserve">KOLA GRANULADA JGB FRESA SUP.CONT 380 GR</t>
  </si>
  <si>
    <t xml:space="preserve">380 g</t>
  </si>
  <si>
    <t xml:space="preserve">KOLA GRANULADA JGB FRESA SUP.CONT 380 GR cuidado suave bebé. • Entrega 45-90 min • Original sellado.</t>
  </si>
  <si>
    <t xml:space="preserve">lagrigen-10ml</t>
  </si>
  <si>
    <t xml:space="preserve">LAGRIGEN 10ML</t>
  </si>
  <si>
    <t xml:space="preserve">LAGRIGEN 10ML medicamento original. Consulta a tu farmacéutico. • Entrega 45-90 min • Original sellado.</t>
  </si>
  <si>
    <t xml:space="preserve">levocetirizina-5-mg-10-tabletas</t>
  </si>
  <si>
    <t xml:space="preserve">LEVOCETIRIZINA 5 MG 10 TABLETAS</t>
  </si>
  <si>
    <t xml:space="preserve">LEVOCETIRIZINA 5 MG 10 TABLETAS medicamento original. Consulta a tu farmacéutico. • Entrega 45-90 min • Original sellado.</t>
  </si>
  <si>
    <t xml:space="preserve">levofloxacino-750mg-5-tabletas</t>
  </si>
  <si>
    <t xml:space="preserve">LEVOFLOXACINO 750MG 5 TABLETAS</t>
  </si>
  <si>
    <t xml:space="preserve">750 mg · 5 Tabletas</t>
  </si>
  <si>
    <t xml:space="preserve">LEVOFLOXACINO 750MG 5 TABLETAS medicamento original. Consulta a tu farmacéutico. • Entrega 45-90 min • Original sellado.</t>
  </si>
  <si>
    <t xml:space="preserve">levotiroxina-100-mcg-150-tabletas</t>
  </si>
  <si>
    <t xml:space="preserve">LEVOTIROXINA 100 MCG 150 TABLETAS</t>
  </si>
  <si>
    <t xml:space="preserve">100 mcg · 150 Tabletas</t>
  </si>
  <si>
    <t xml:space="preserve">LEVOTIROXINA 100 MCG 150 TABLETAS medicamento original. Consulta a tu farmacéutico. • Entrega 45-90 min • Original sellado.</t>
  </si>
  <si>
    <t xml:space="preserve">lidoprocto-10-supositorios-3</t>
  </si>
  <si>
    <t xml:space="preserve">LIDOPROCTO 10 SUPOSITORIOS(3%+)</t>
  </si>
  <si>
    <t xml:space="preserve">10 Supositorios</t>
  </si>
  <si>
    <t xml:space="preserve">LIDOPROCTO 10 SUPOSITORIOS(3%+) medicamento original. Consulta a tu farmacéutico. • Entrega 45-90 min • Original sellado.</t>
  </si>
  <si>
    <t xml:space="preserve">lomecan-clotrimazol-200mg-3-ovu-vag</t>
  </si>
  <si>
    <t xml:space="preserve">LOMECAN CLOTRIMAZOL 200MG 3 OVU.VAG</t>
  </si>
  <si>
    <t xml:space="preserve">Lomecan</t>
  </si>
  <si>
    <t xml:space="preserve">200 mg</t>
  </si>
  <si>
    <t xml:space="preserve">LOMECAN CLOTRIMAZOL 200MG 3 OVU.VAG cuidado diario. • Entrega 45-90 min • Original sellado.</t>
  </si>
  <si>
    <t xml:space="preserve">lomecan-v-cre-vagin-2-20gr-3apl-sf-dto</t>
  </si>
  <si>
    <t xml:space="preserve">LOMECAN V CRE.VAGIN.2% 20GR+3APL(SF) DTO</t>
  </si>
  <si>
    <t xml:space="preserve">LOMECAN V CRE.VAGIN.2% 20GR+3APL(SF) DTO medicamento original. Consulta a tu farmacéutico. • Entrega 45-90 min • Original sellado.</t>
  </si>
  <si>
    <t xml:space="preserve">loratadina-10-mg-20-tabletas</t>
  </si>
  <si>
    <t xml:space="preserve">LORATADINA 10 MG 20 TABLETAS</t>
  </si>
  <si>
    <t xml:space="preserve">10 mg · 20 Tabletas</t>
  </si>
  <si>
    <t xml:space="preserve">LORATADINA 10 MG 20 TABLETAS medicamento original. Consulta a tu farmacéutico. • Entrega 45-90 min • Original sellado.</t>
  </si>
  <si>
    <t xml:space="preserve">losartan-50-mg-30-tabletas</t>
  </si>
  <si>
    <t xml:space="preserve">LOSARTAN 50 MG 30 TABLETAS</t>
  </si>
  <si>
    <t xml:space="preserve">LOSARTAN 50 MG 30 TABLETAS medicamento original. Consulta a tu farmacéutico. • Entrega 45-90 min • Original sellado.</t>
  </si>
  <si>
    <t xml:space="preserve">lumbal-12-tabletas</t>
  </si>
  <si>
    <t xml:space="preserve">LUMBAL 12 TABLETAS</t>
  </si>
  <si>
    <t xml:space="preserve">LUMBAL 12 TABLETAS medicamento original. Consulta a tu farmacéutico. • Entrega 45-90 min • Original sellado.</t>
  </si>
  <si>
    <t xml:space="preserve">mareol-tabletas-pague-72-lleve-84</t>
  </si>
  <si>
    <t xml:space="preserve">MAREOL TABLETAS PAGUE 72 LLEVE 84</t>
  </si>
  <si>
    <t xml:space="preserve">Tabletas</t>
  </si>
  <si>
    <t xml:space="preserve">MAREOL TABLETAS PAGUE 72 LLEVE 84 medicamento original. Consulta a tu farmacéutico. • Entrega 45-90 min • Original sellado.</t>
  </si>
  <si>
    <t xml:space="preserve">meloxicam-15-mg-10-tabletas</t>
  </si>
  <si>
    <t xml:space="preserve">MELOXICAM 15 MG 10 TABLETAS</t>
  </si>
  <si>
    <t xml:space="preserve">15 mg · 10 Tabletas</t>
  </si>
  <si>
    <t xml:space="preserve">MELOXICAM 15 MG 10 TABLETAS medicamento original. Consulta a tu farmacéutico. • Entrega 45-90 min • Original sellado.</t>
  </si>
  <si>
    <t xml:space="preserve">meloxicam-7-5-mg-10-tabletas</t>
  </si>
  <si>
    <t xml:space="preserve">MELOXICAM 7.5 MG 10 TABLETAS</t>
  </si>
  <si>
    <t xml:space="preserve">7.5 mg · 10 Tabletas</t>
  </si>
  <si>
    <t xml:space="preserve">MELOXICAM 7.5 MG 10 TABLETAS medicamento original. Consulta a tu farmacéutico. • Entrega 45-90 min • Original sellado.</t>
  </si>
  <si>
    <t xml:space="preserve">metatitane-pomada-40-gr</t>
  </si>
  <si>
    <t xml:space="preserve">METATITANE POMADA 40 GR</t>
  </si>
  <si>
    <t xml:space="preserve">40 g · Ungüento</t>
  </si>
  <si>
    <t xml:space="preserve">METATITANE POMADA 40 GR medicamento original. Consulta a tu farmacéutico. • Entrega 45-90 min • Original sellado.</t>
  </si>
  <si>
    <t xml:space="preserve">metformina-850-mg-30-tabletas</t>
  </si>
  <si>
    <t xml:space="preserve">METFORMINA 850 MG 30 TABLETAS</t>
  </si>
  <si>
    <t xml:space="preserve">850 mg · 30 Tabletas</t>
  </si>
  <si>
    <t xml:space="preserve">diabetes</t>
  </si>
  <si>
    <t xml:space="preserve">METFORMINA 850 MG 30 TABLETAS medicamento original. Consulta a tu farmacéutico. • Entrega 45-90 min • Original sellado.</t>
  </si>
  <si>
    <t xml:space="preserve">metoclopramida-10-mg-30-tabletas</t>
  </si>
  <si>
    <t xml:space="preserve">METOCLOPRAMIDA 10 MG 30 TABLETAS</t>
  </si>
  <si>
    <t xml:space="preserve">METOCLOPRAMIDA 10 MG 30 TABLETAS medicamento original. Consulta a tu farmacéutico. • Entrega 45-90 min • Original sellado.</t>
  </si>
  <si>
    <t xml:space="preserve">metoprolol-50-mg-30-tabletas</t>
  </si>
  <si>
    <t xml:space="preserve">METOPROLOL 50 MG 30 TABLETAS</t>
  </si>
  <si>
    <t xml:space="preserve">METOPROLOL 50 MG 30 TABLETAS medicamento original. Consulta a tu farmacéutico. • Entrega 45-90 min • Original sellado.</t>
  </si>
  <si>
    <t xml:space="preserve">metronidazol-125-mg-suspension-120-ml</t>
  </si>
  <si>
    <t xml:space="preserve">METRONIDAZOL 125 MG SUSPENSION 120 ML</t>
  </si>
  <si>
    <t xml:space="preserve">125 mg · 120 ml · Suspensión</t>
  </si>
  <si>
    <t xml:space="preserve">METRONIDAZOL 125 MG SUSPENSION 120 ML medicamento original. Consulta a tu farmacéutico. • Entrega 45-90 min • Original sellado.</t>
  </si>
  <si>
    <t xml:space="preserve">metronidazol-500-mg-nistatina-10-ovu</t>
  </si>
  <si>
    <t xml:space="preserve">METRONIDAZOL 500 MG+NISTATINA 10 OVU</t>
  </si>
  <si>
    <t xml:space="preserve">500 mg</t>
  </si>
  <si>
    <t xml:space="preserve">METRONIDAZOL 500 MG+NISTATINA 10 OVU medicamento original. Consulta a tu farmacéutico. • Entrega 45-90 min • Original sellado.</t>
  </si>
  <si>
    <t xml:space="preserve">systane-gotas-15-ml-2</t>
  </si>
  <si>
    <t xml:space="preserve">diclofenaco-50-mg-30-tabletas</t>
  </si>
  <si>
    <t xml:space="preserve">DICLOFENACO 50 MG 30 TABLETAS</t>
  </si>
  <si>
    <t xml:space="preserve">DICLOFENACO 50 MG 30 TABLETAS medicamento original. Consulta a tu farmacéutico. • Entrega 45-90 min • Original sellado.</t>
  </si>
  <si>
    <t xml:space="preserve">diclofenaco-75-mg-10-ampollas</t>
  </si>
  <si>
    <t xml:space="preserve">DICLOFENACO 75 MG 10 AMPOLLAS</t>
  </si>
  <si>
    <t xml:space="preserve">75 mg · Ampollas</t>
  </si>
  <si>
    <t xml:space="preserve">DICLOFENACO 75 MG 10 AMPOLLAS medicamento original. Consulta a tu farmacéutico. • Entrega 45-90 min • Original sellado.</t>
  </si>
  <si>
    <t xml:space="preserve">diclofenaco-retard-100-mg-20-capsulas</t>
  </si>
  <si>
    <t xml:space="preserve">DICLOFENACO RETARD 100 MG 20 CAPSULAS</t>
  </si>
  <si>
    <t xml:space="preserve">100 mg · 20 Cápsulas</t>
  </si>
  <si>
    <t xml:space="preserve">DICLOFENACO RETARD 100 MG 20 CAPSULAS medicamento original. Consulta a tu farmacéutico. • Entrega 45-90 min • Original sellado.</t>
  </si>
  <si>
    <t xml:space="preserve">dicloxacilina-500-mg-50-capsulas</t>
  </si>
  <si>
    <t xml:space="preserve">DICLOXACILINA 500 MG 50 CAPSULAS</t>
  </si>
  <si>
    <t xml:space="preserve">500 mg · 50 Cápsulas</t>
  </si>
  <si>
    <t xml:space="preserve">DICLOXACILINA 500 MG 50 CAPSULAS medicamento original. Consulta a tu farmacéutico. • Entrega 45-90 min • Original sellado.</t>
  </si>
  <si>
    <t xml:space="preserve">dienille-2-mg-21-comprim</t>
  </si>
  <si>
    <t xml:space="preserve">DIENILLE 2 MG 21 COMPRIM.</t>
  </si>
  <si>
    <t xml:space="preserve">2 mg</t>
  </si>
  <si>
    <t xml:space="preserve">DIENILLE 2 MG 21 COMPRIM. medicamento original. Consulta a tu farmacéutico. • Entrega 45-90 min • Original sellado.</t>
  </si>
  <si>
    <t xml:space="preserve">difenhidramina-jarabe-120-ml</t>
  </si>
  <si>
    <t xml:space="preserve">DIFENHIDRAMINA JARABE 120 ML</t>
  </si>
  <si>
    <t xml:space="preserve">DIFENHIDRAMINA JARABE 120 ML medicamento original. Consulta a tu farmacéutico. • Entrega 45-90 min • Original sellado.</t>
  </si>
  <si>
    <t xml:space="preserve">digesta-250-mg-20-tbs</t>
  </si>
  <si>
    <t xml:space="preserve">DIGESTA 250 MG 20 TBS</t>
  </si>
  <si>
    <t xml:space="preserve">250 mg · 20 Tabletas</t>
  </si>
  <si>
    <t xml:space="preserve">DIGESTA 250 MG 20 TBS medicamento original. Consulta a tu farmacéutico. • Entrega 45-90 min • Original sellado.</t>
  </si>
  <si>
    <t xml:space="preserve">digestar-fibra-psyllium-12-sbs</t>
  </si>
  <si>
    <t xml:space="preserve">DIGESTAR FIBRA PSYLLIUM 12 SBS</t>
  </si>
  <si>
    <t xml:space="preserve">DIGESTAR FIBRA PSYLLIUM 12 SBS complemento nutricional. • Entrega 45-90 min • Original sellado.</t>
  </si>
  <si>
    <t xml:space="preserve">diosmit-3-gramos-6-sobres</t>
  </si>
  <si>
    <t xml:space="preserve">DIOSMIT 3 GRAMOS 6 SOBRES</t>
  </si>
  <si>
    <t xml:space="preserve">6 Sobres</t>
  </si>
  <si>
    <t xml:space="preserve">DIOSMIT 3 GRAMOS 6 SOBRES complemento nutricional. • Entrega 45-90 min • Original sellado.</t>
  </si>
  <si>
    <t xml:space="preserve">diovan-160-mg-28-tabletas</t>
  </si>
  <si>
    <t xml:space="preserve">DIOVAN 160 MG 28 TABLETAS</t>
  </si>
  <si>
    <t xml:space="preserve">160 mg · 28 Tabletas</t>
  </si>
  <si>
    <t xml:space="preserve">DIOVAN 160 MG 28 TABLETAS medicamento original. Consulta a tu farmacéutico. • Entrega 45-90 min • Original sellado.</t>
  </si>
  <si>
    <t xml:space="preserve">metronidazol-500-mg-40-tabletas</t>
  </si>
  <si>
    <t xml:space="preserve">METRONIDAZOL 500 MG 40 TABLETAS</t>
  </si>
  <si>
    <t xml:space="preserve">500 mg · 40 Tabletas</t>
  </si>
  <si>
    <t xml:space="preserve">METRONIDAZOL 500 MG 40 TABLETAS medicamento original. Consulta a tu farmacéutico. • Entrega 45-90 min • Original sellado.</t>
  </si>
  <si>
    <t xml:space="preserve">micardis-80-mg-28-tbs</t>
  </si>
  <si>
    <t xml:space="preserve">MICARDIS 80 MG 28 TBS</t>
  </si>
  <si>
    <t xml:space="preserve">MICARDIS 80 MG 28 TBS medicamento original. Consulta a tu farmacéutico. • Entrega 45-90 min • Original sellado.</t>
  </si>
  <si>
    <t xml:space="preserve">microgynon-cd-28-tbs</t>
  </si>
  <si>
    <t xml:space="preserve">MICROGYNON CD 28 TBS</t>
  </si>
  <si>
    <t xml:space="preserve">MICROGYNON CD 28 TBS medicamento original. Consulta a tu farmacéutico. • Entrega 45-90 min • Original sellado.</t>
  </si>
  <si>
    <t xml:space="preserve">mieltertos-maxforte-120-ml</t>
  </si>
  <si>
    <t xml:space="preserve">MIELTERTOS MAXFORTE 120 ML</t>
  </si>
  <si>
    <t xml:space="preserve">MIELTERTOS MAXFORTE 120 ML medicamento original. Consulta a tu farmacéutico. • Entrega 45-90 min • Original sellado.</t>
  </si>
  <si>
    <t xml:space="preserve">mieltertos-ninos-180-ml</t>
  </si>
  <si>
    <t xml:space="preserve">MIELTERTOS NINOS 180 ML</t>
  </si>
  <si>
    <t xml:space="preserve">180 ml</t>
  </si>
  <si>
    <t xml:space="preserve">MIELTERTOS NINOS 180 ML cuidado suave bebé. • Entrega 45-90 min • Original sellado.</t>
  </si>
  <si>
    <t xml:space="preserve">minoxidil-ultra-5-cannab-loc-60ml</t>
  </si>
  <si>
    <t xml:space="preserve">MINOXIDIL ULTRA 5% CANNAB LOC. 60ML</t>
  </si>
  <si>
    <t xml:space="preserve">60 ml</t>
  </si>
  <si>
    <t xml:space="preserve">MINOXIDIL ULTRA 5% CANNAB LOC. 60ML medicamento original. Consulta a tu farmacéutico. • Entrega 45-90 min • Original sellado.</t>
  </si>
  <si>
    <t xml:space="preserve">monuril-sobre-adultos-3-gr</t>
  </si>
  <si>
    <t xml:space="preserve">MONURIL SOBRE ADULTOS 3 GR</t>
  </si>
  <si>
    <t xml:space="preserve">3 g · Sobres</t>
  </si>
  <si>
    <t xml:space="preserve">MONURIL SOBRE ADULTOS 3 GR medicamento original. Consulta a tu farmacéutico. • Entrega 45-90 min • Original sellado.</t>
  </si>
  <si>
    <t xml:space="preserve">mucosina-gotas-30-ml</t>
  </si>
  <si>
    <t xml:space="preserve">MUCOSINA GOTAS 30 ML</t>
  </si>
  <si>
    <t xml:space="preserve">MUCOSINA GOTAS 30 ML medicamento original. Consulta a tu farmacéutico. • Entrega 45-90 min • Original sellado.</t>
  </si>
  <si>
    <t xml:space="preserve">mucosina-suspension-120-ml</t>
  </si>
  <si>
    <t xml:space="preserve">MUCOSINA SUSPENSION 120 ML</t>
  </si>
  <si>
    <t xml:space="preserve">120 ml · Suspensión</t>
  </si>
  <si>
    <t xml:space="preserve">MUCOSINA SUSPENSION 120 ML medicamento original. Consulta a tu farmacéutico. • Entrega 45-90 min • Original sellado.</t>
  </si>
  <si>
    <t xml:space="preserve">mylanta-dos-fresa-240-ml</t>
  </si>
  <si>
    <t xml:space="preserve">MYLANTA DOS FRESA 240 ML</t>
  </si>
  <si>
    <t xml:space="preserve">240 ml</t>
  </si>
  <si>
    <t xml:space="preserve">MYLANTA DOS FRESA 240 ML medicamento original. Consulta a tu farmacéutico. • Entrega 45-90 min • Original sellado.</t>
  </si>
  <si>
    <t xml:space="preserve">nan-pro-1-400-gr</t>
  </si>
  <si>
    <t xml:space="preserve">NAN PRO 1 400 GR</t>
  </si>
  <si>
    <t xml:space="preserve">Nan</t>
  </si>
  <si>
    <t xml:space="preserve">NAN PRO 1 400 GR cuidado suave bebé. • Entrega 45-90 min • Original sellado.</t>
  </si>
  <si>
    <t xml:space="preserve">nan-pro-2-400-gr</t>
  </si>
  <si>
    <t xml:space="preserve">NAN PRO 2 400 GR</t>
  </si>
  <si>
    <t xml:space="preserve">NAN PRO 2 400 GR cuidado suave bebé. • Entrega 45-90 min • Original sellado.</t>
  </si>
  <si>
    <t xml:space="preserve">naproxeno-250-mg-10-capsulas</t>
  </si>
  <si>
    <t xml:space="preserve">NAPROXENO 250 MG 10 CAPSULAS</t>
  </si>
  <si>
    <t xml:space="preserve">NAPROXENO 250 MG 10 CAPSULAS medicamento original. Consulta a tu farmacéutico. • Entrega 45-90 min • Original sellado.</t>
  </si>
  <si>
    <t xml:space="preserve">naproxeno-250-mg-10-tabletas</t>
  </si>
  <si>
    <t xml:space="preserve">NAPROXENO 250 MG 10 TABLETAS</t>
  </si>
  <si>
    <t xml:space="preserve">250 mg · 10 Tabletas</t>
  </si>
  <si>
    <t xml:space="preserve">NAPROXENO 250 MG 10 TABLETAS medicamento original. Consulta a tu farmacéutico. • Entrega 45-90 min • Original sellado.</t>
  </si>
  <si>
    <t xml:space="preserve">neosaldina-gotas-30-ml</t>
  </si>
  <si>
    <t xml:space="preserve">NEOSALDINA GOTAS 30 ML</t>
  </si>
  <si>
    <t xml:space="preserve">Neosaldina</t>
  </si>
  <si>
    <t xml:space="preserve">NEOSALDINA GOTAS 30 ML medicamento original. Consulta a tu farmacéutico. • Entrega 45-90 min • Original sellado.</t>
  </si>
  <si>
    <t xml:space="preserve">neosaldina-100-grageas</t>
  </si>
  <si>
    <t xml:space="preserve">NEOSALDINA 100 GRAGEAS</t>
  </si>
  <si>
    <t xml:space="preserve">100 Grageas</t>
  </si>
  <si>
    <t xml:space="preserve">NEOSALDINA 100 GRAGEAS medicamento original. Consulta a tu farmacéutico. • Entrega 45-90 min • Original sellado.</t>
  </si>
  <si>
    <t xml:space="preserve">nestle-nestum-bl-200-gr-5-cereales</t>
  </si>
  <si>
    <t xml:space="preserve">NESTLE NESTUM BL 200 GR 5 CEREALES</t>
  </si>
  <si>
    <t xml:space="preserve">Nestle</t>
  </si>
  <si>
    <t xml:space="preserve">200 g</t>
  </si>
  <si>
    <t xml:space="preserve">NESTLE NESTUM BL 200 GR 5 CEREALES cuidado suave bebé. • Entrega 45-90 min • Original sellado.</t>
  </si>
  <si>
    <t xml:space="preserve">nestle-nestum-bl-350-gr-5-cereales</t>
  </si>
  <si>
    <t xml:space="preserve">NESTLE NESTUM BL 350 GR 5 CEREALES</t>
  </si>
  <si>
    <t xml:space="preserve">350 g</t>
  </si>
  <si>
    <t xml:space="preserve">NESTLE NESTUM BL 350 GR 5 CEREALES cuidado suave bebé. • Entrega 45-90 min • Original sellado.</t>
  </si>
  <si>
    <t xml:space="preserve">nestogeno-2-maxilata-1-1kg</t>
  </si>
  <si>
    <t xml:space="preserve">NESTOGENO 2 MAXILATA 1.1KG</t>
  </si>
  <si>
    <t xml:space="preserve">NESTOGENO 2 MAXILATA 1.1KG cuidado suave bebé. • Entrega 45-90 min • Original sellado.</t>
  </si>
  <si>
    <t xml:space="preserve">neumolex-jarabe-120-ml</t>
  </si>
  <si>
    <t xml:space="preserve">NEUMOLEX JARABE 120 ML</t>
  </si>
  <si>
    <t xml:space="preserve">NEUMOLEX JARABE 120 ML medicamento original. Consulta a tu farmacéutico. • Entrega 45-90 min • Original sellado.</t>
  </si>
  <si>
    <t xml:space="preserve">neurexan-gotas-30-ml</t>
  </si>
  <si>
    <t xml:space="preserve">NEUREXAN GOTAS 30 ML</t>
  </si>
  <si>
    <t xml:space="preserve">NEUREXAN GOTAS 30 ML medicamento original. Consulta a tu farmacéutico. • Entrega 45-90 min • Original sellado.</t>
  </si>
  <si>
    <t xml:space="preserve">neurexan-frasco-50-tabletas</t>
  </si>
  <si>
    <t xml:space="preserve">NEUREXAN FRASCO 50 TABLETAS</t>
  </si>
  <si>
    <t xml:space="preserve">NEUREXAN FRASCO 50 TABLETAS medicamento original. Consulta a tu farmacéutico. • Entrega 45-90 min • Original sellado.</t>
  </si>
  <si>
    <t xml:space="preserve">neurobion-30-tabletas</t>
  </si>
  <si>
    <t xml:space="preserve">NEUROBION 30 TABLETAS</t>
  </si>
  <si>
    <t xml:space="preserve">NEUROBION 30 TABLETAS medicamento original. Consulta a tu farmacéutico. • Entrega 45-90 min • Original sellado.</t>
  </si>
  <si>
    <t xml:space="preserve">next-gl-gripa-8-capsulas-blandas</t>
  </si>
  <si>
    <t xml:space="preserve">NEXT GL GRIPA 8 CAPSULAS BLANDAS</t>
  </si>
  <si>
    <t xml:space="preserve">8 Cápsulas</t>
  </si>
  <si>
    <t xml:space="preserve">NEXT GL GRIPA 8 CAPSULAS BLANDAS medicamento original. Consulta a tu farmacéutico. • Entrega 45-90 min • Original sellado.</t>
  </si>
  <si>
    <t xml:space="preserve">nimesulida-100-mg-30-capsulas-blandas</t>
  </si>
  <si>
    <t xml:space="preserve">NIMESULIDA 100 MG 30 CAPSULAS BLANDAS</t>
  </si>
  <si>
    <t xml:space="preserve">100 mg · 30 Cápsulas</t>
  </si>
  <si>
    <t xml:space="preserve">NIMESULIDA 100 MG 30 CAPSULAS BLANDAS medicamento original. Consulta a tu farmacéutico. • Entrega 45-90 min • Original sellado.</t>
  </si>
  <si>
    <t xml:space="preserve">nitrofurantoina-100-mg-40-capsulas</t>
  </si>
  <si>
    <t xml:space="preserve">NITROFURANTOINA 100 MG 40 CAPSULAS</t>
  </si>
  <si>
    <t xml:space="preserve">100 mg · 40 Cápsulas</t>
  </si>
  <si>
    <t xml:space="preserve">NITROFURANTOINA 100 MG 40 CAPSULAS medicamento original. Consulta a tu farmacéutico. • Entrega 45-90 min • Original sellado.</t>
  </si>
  <si>
    <t xml:space="preserve">nixoderm-unguento-20-gr</t>
  </si>
  <si>
    <t xml:space="preserve">NIXODERM UNGUENTO 20 GR</t>
  </si>
  <si>
    <t xml:space="preserve">20 g · Ungüento</t>
  </si>
  <si>
    <t xml:space="preserve">NIXODERM UNGUENTO 20 GR medicamento original. Consulta a tu farmacéutico. • Entrega 45-90 min • Original sellado.</t>
  </si>
  <si>
    <t xml:space="preserve">noraver-menta-spray-120-ml</t>
  </si>
  <si>
    <t xml:space="preserve">NORAVER MENTA SPRAY 120 ML</t>
  </si>
  <si>
    <t xml:space="preserve">120 ml · Spray</t>
  </si>
  <si>
    <t xml:space="preserve">NORAVER MENTA SPRAY 120 ML cuidado diario. • Entrega 45-90 min • Original sellado.</t>
  </si>
  <si>
    <t xml:space="preserve">noraver-pastillas-cereza-12-tbs</t>
  </si>
  <si>
    <t xml:space="preserve">NORAVER PASTILLAS CEREZA 12 TBS</t>
  </si>
  <si>
    <t xml:space="preserve">NORAVER PASTILLAS CEREZA 12 TBS medicamento original. Consulta a tu farmacéutico. • Entrega 45-90 min • Original sellado.</t>
  </si>
  <si>
    <t xml:space="preserve">noxpirin-junior-f-jbe-120-ml</t>
  </si>
  <si>
    <t xml:space="preserve">NOXPIRIN JUNIOR F JBE 120 ML</t>
  </si>
  <si>
    <t xml:space="preserve">Noxpirin</t>
  </si>
  <si>
    <t xml:space="preserve">NOXPIRIN JUNIOR F JBE 120 ML cuidado suave bebé. • Entrega 45-90 min • Original sellado.</t>
  </si>
  <si>
    <t xml:space="preserve">omeprazol-20-mg-10-capsulas</t>
  </si>
  <si>
    <t xml:space="preserve">OMEPRAZOL 20 MG 10 CAPSULAS</t>
  </si>
  <si>
    <t xml:space="preserve">OMEPRAZOL 20 MG 10 CAPSULAS medicamento original. Consulta a tu farmacéutico. • Entrega 45-90 min • Original sellado.</t>
  </si>
  <si>
    <t xml:space="preserve">shampoo-sedal-400-ml-acondicionador-340-ml</t>
  </si>
  <si>
    <t xml:space="preserve">SHAMPOO SEDAL 400 ML + ACONDICIONADOR 340 ML</t>
  </si>
  <si>
    <t xml:space="preserve">SHAMPOO SEDAL 400 ML + ACONDICIONADOR 340 ML cuidado diario. • Entrega 45-90 min • Original sellado.</t>
  </si>
  <si>
    <t xml:space="preserve">shampoo-head-and-shoulders-375-ml-shampoo-head-and-shoulders-180-ml-suave-y-manejable-2</t>
  </si>
  <si>
    <t xml:space="preserve">SHAMPOO HEAD AND SHOULDERS 375 ML + SHAMPOO HEAD AND SHOULDERS 180 ML SUAVE Y MANEJABLE 2</t>
  </si>
  <si>
    <t xml:space="preserve">375 ml · Shampoo</t>
  </si>
  <si>
    <t xml:space="preserve">SHAMPOO HEAD AND SHOULDERS 375 ML + SHAMPOO HEAD AND SHOULDERS 180 ML SUAVE Y MANEJABLE 2 cuidado diario. • Entrega 45-90 min • Original sellado.</t>
  </si>
  <si>
    <t xml:space="preserve">citrato-de-magnesio-x-90-caps-lab-medick</t>
  </si>
  <si>
    <t xml:space="preserve">CITRATO DE MAGNESIO X 90 CAPS LAB MEDICK</t>
  </si>
  <si>
    <t xml:space="preserve">90 Cápsulas</t>
  </si>
  <si>
    <t xml:space="preserve">CITRATO DE MAGNESIO X 90 CAPS LAB MEDICK medicamento original. Consulta a tu farmacéutico. • Entrega 45-90 min • Original sellado.</t>
  </si>
  <si>
    <t xml:space="preserve">omega-3-fish-oil-1200-mg-x-60-sofgels-healthy-america</t>
  </si>
  <si>
    <t xml:space="preserve">OMEGA 3 FISH OIL 1200 MG X 60 SOFGELS HEALTHY AMERICA</t>
  </si>
  <si>
    <t xml:space="preserve">1200 mg · 60 unidades</t>
  </si>
  <si>
    <t xml:space="preserve">OMEGA 3 FISH OIL 1200 MG X 60 SOFGELS HEALTHY AMERICA complemento nutricional. • Entrega 45-90 min • Original sellado.</t>
  </si>
  <si>
    <t xml:space="preserve">sunface-gel-spf50-x-70gr</t>
  </si>
  <si>
    <t xml:space="preserve">SUNFACE GEL SPF50 X 70GR</t>
  </si>
  <si>
    <t xml:space="preserve">70 g · Gel</t>
  </si>
  <si>
    <t xml:space="preserve">SUNFACE GEL SPF50 X 70GR cuidado diario. • Entrega 45-90 min • Original sellado.</t>
  </si>
  <si>
    <t xml:space="preserve">sunstop-total-crem-spf50-x-80gr</t>
  </si>
  <si>
    <t xml:space="preserve">SUNSTOP TOTAL CREM SPF50 X 80GR</t>
  </si>
  <si>
    <t xml:space="preserve">Sunstop</t>
  </si>
  <si>
    <t xml:space="preserve">80 g</t>
  </si>
  <si>
    <t xml:space="preserve">SUNSTOP TOTAL CREM SPF50 X 80GR cuidado diario. • Entrega 45-90 min • Original sellado.</t>
  </si>
  <si>
    <t xml:space="preserve">pantoprazol-40mg-x-28-tab-momenta</t>
  </si>
  <si>
    <t xml:space="preserve">PANTOPRAZOL 40MG X 28 TAB MOMENTA</t>
  </si>
  <si>
    <t xml:space="preserve">40 mg · 28 Tabletas</t>
  </si>
  <si>
    <t xml:space="preserve">PANTOPRAZOL 40MG X 28 TAB MOMENTA medicamento original. Consulta a tu farmacéutico. • Entrega 45-90 min • Original sellado.</t>
  </si>
  <si>
    <t xml:space="preserve">sulzinc-sol-oral-80-ml-huma</t>
  </si>
  <si>
    <t xml:space="preserve">SULZINC SOL ORAL 80 ML HUMA</t>
  </si>
  <si>
    <t xml:space="preserve">80 ml</t>
  </si>
  <si>
    <t xml:space="preserve">SULZINC SOL ORAL 80 ML HUMA medicamento original. Consulta a tu farmacéutico. • Entrega 45-90 min • Original sellado.</t>
  </si>
  <si>
    <t xml:space="preserve">azitromicina-500-mg-3-tab-ag</t>
  </si>
  <si>
    <t xml:space="preserve">AZITROMICINA 500 MG 3 TAB AG</t>
  </si>
  <si>
    <t xml:space="preserve">500 mg · 3 Tabletas</t>
  </si>
  <si>
    <t xml:space="preserve">AZITROMICINA 500 MG 3 TAB AG medicamento original. Consulta a tu farmacéutico. • Entrega 45-90 min • Original sellado.</t>
  </si>
  <si>
    <t xml:space="preserve">azitromicina-500-mg-3-tabletas-mk-cja-x-3</t>
  </si>
  <si>
    <t xml:space="preserve">AZITROMICINA 500 MG 3 TABLETAS MK CJA X 3</t>
  </si>
  <si>
    <t xml:space="preserve">AZITROMICINA 500 MG 3 TABLETAS MK CJA X 3 medicamento original. Consulta a tu farmacéutico. • Entrega 45-90 min • Original sellado.</t>
  </si>
  <si>
    <t xml:space="preserve">zopiclona-7-5-mg-tbs-colmed-cja-x-30</t>
  </si>
  <si>
    <t xml:space="preserve">ZOPICLONA 7.5 MG TBS COLMED CJA X 30</t>
  </si>
  <si>
    <t xml:space="preserve">ZOPICLONA 7.5 MG TBS COLMED CJA X 30 medicamento original. Consulta a tu farmacéutico. • Entrega 45-90 min • Original sellado.</t>
  </si>
  <si>
    <t xml:space="preserve">yasmin-comprimidos</t>
  </si>
  <si>
    <t xml:space="preserve">YASMIN COMPRIMIDOS</t>
  </si>
  <si>
    <t xml:space="preserve">YASMIN COMPRIMIDOS medicamento original. Consulta a tu farmacéutico. • Entrega 45-90 min • Original sellado.</t>
  </si>
  <si>
    <t xml:space="preserve">yael-tbs-cja-x-21</t>
  </si>
  <si>
    <t xml:space="preserve">YAEL TBS  CJA X 21</t>
  </si>
  <si>
    <t xml:space="preserve">YAEL TBS  CJA X 21 medicamento original. Consulta a tu farmacéutico. • Entrega 45-90 min • Original sellado.</t>
  </si>
  <si>
    <t xml:space="preserve">x-ray-gel-30gr</t>
  </si>
  <si>
    <t xml:space="preserve">X RAY GEL  30GR</t>
  </si>
  <si>
    <t xml:space="preserve">X RAY GEL  30GR medicamento original. Consulta a tu farmacéutico. • Entrega 45-90 min • Original sellado.</t>
  </si>
  <si>
    <t xml:space="preserve">x-ray-dol-tabletas-cja-x-48</t>
  </si>
  <si>
    <t xml:space="preserve">X-RAY DOL TABLETAS CJA X 48</t>
  </si>
  <si>
    <t xml:space="preserve">X-RAY DOL TABLETAS CJA X 48 medicamento original. Consulta a tu farmacéutico. • Entrega 45-90 min • Original sellado.</t>
  </si>
  <si>
    <t xml:space="preserve">winny-ult-trim-act-sec-et-5-paq-x-50</t>
  </si>
  <si>
    <t xml:space="preserve">WINNY ULT/TRIM ACT-SEC ET.5 PAQ X 50</t>
  </si>
  <si>
    <t xml:space="preserve">Winny</t>
  </si>
  <si>
    <t xml:space="preserve">50 unidades</t>
  </si>
  <si>
    <t xml:space="preserve">adulto-mayor</t>
  </si>
  <si>
    <t xml:space="preserve">WINNY ULT/TRIM ACT-SEC ET.5 PAQ X 50 cuidado suave bebé. • Entrega 45-90 min • Original sellado.</t>
  </si>
  <si>
    <t xml:space="preserve">winny-ult-sec-et-5-xxg-paq-x-30</t>
  </si>
  <si>
    <t xml:space="preserve">WINNY ULT/SEC ET.5 XXG  PAQ X 30</t>
  </si>
  <si>
    <t xml:space="preserve">30 unidades</t>
  </si>
  <si>
    <t xml:space="preserve">WINNY ULT/SEC ET.5 XXG  PAQ X 30 cuidado suave bebé. • Entrega 45-90 min • Original sellado.</t>
  </si>
  <si>
    <t xml:space="preserve">winny-ult-sec-et-3-paq-x-30</t>
  </si>
  <si>
    <t xml:space="preserve">WINNY ULT/SEC ET.3  PAQ X 30</t>
  </si>
  <si>
    <t xml:space="preserve">WINNY ULT/SEC ET.3  PAQ X 30 cuidado suave bebé. • Entrega 45-90 min • Original sellado.</t>
  </si>
  <si>
    <t xml:space="preserve">winny-ul-trim-sec-et-2-m-paq-x-30</t>
  </si>
  <si>
    <t xml:space="preserve">WINNY UL/TRIM-SEC ET.2 M  PAQ X 30</t>
  </si>
  <si>
    <t xml:space="preserve">WINNY UL/TRIM-SEC ET.2 M  PAQ X 30 cuidado suave bebé. • Entrega 45-90 min • Original sellado.</t>
  </si>
  <si>
    <t xml:space="preserve">voltaren-50-mg-grageas-cja-x-30</t>
  </si>
  <si>
    <t xml:space="preserve">VOLTAREN 50 MG GRAGEAS CJA X 30</t>
  </si>
  <si>
    <t xml:space="preserve">50 mg · 30 Grageas</t>
  </si>
  <si>
    <t xml:space="preserve">VOLTAREN 50 MG GRAGEAS CJA X 30 medicamento original. Consulta a tu farmacéutico. • Entrega 45-90 min • Original sellado.</t>
  </si>
  <si>
    <t xml:space="preserve">voltaren-1-emulgel-tbo-x-30-gr</t>
  </si>
  <si>
    <t xml:space="preserve">VOLTAREN 1% EMULGEL TBO X 30 GR</t>
  </si>
  <si>
    <t xml:space="preserve">30 g · 30 unidades</t>
  </si>
  <si>
    <t xml:space="preserve">VOLTAREN 1% EMULGEL TBO X 30 GR medicamento original. Consulta a tu farmacéutico. • Entrega 45-90 min • Original sellado.</t>
  </si>
  <si>
    <t xml:space="preserve">vivera-sachets-cja-x-8</t>
  </si>
  <si>
    <t xml:space="preserve">VIVERA SACHETS CJA X 8</t>
  </si>
  <si>
    <t xml:space="preserve">8 unidades</t>
  </si>
  <si>
    <t xml:space="preserve">VIVERA SACHETS CJA X 8 complemento nutricional. • Entrega 45-90 min • Original sellado.</t>
  </si>
  <si>
    <t xml:space="preserve">vitamina-e-1000-iu-softgels-fco-x-50-healthy-ameri</t>
  </si>
  <si>
    <t xml:space="preserve">VITAMINA E 1000 IU SOFTGELS FCO X 50 HEALTHY AMERI</t>
  </si>
  <si>
    <t xml:space="preserve">VITAMINA E 1000 IU SOFTGELS FCO X 50 HEALTHY AMERI complemento nutricional. • Entrega 45-90 min • Original sellado.</t>
  </si>
  <si>
    <t xml:space="preserve">vitacerebrina-finlay-jbe-cereza-fco-x-180-ml</t>
  </si>
  <si>
    <t xml:space="preserve">VITACEREBRINA FINLAY JBE.CEREZA FCO X 180 ML</t>
  </si>
  <si>
    <t xml:space="preserve">Vitacerebrina</t>
  </si>
  <si>
    <t xml:space="preserve">180 ml · 180 Jarabe</t>
  </si>
  <si>
    <t xml:space="preserve">VITACEREBRINA FINLAY JBE.CEREZA FCO X 180 ML complemento nutricional. • Entrega 45-90 min • Original sellado.</t>
  </si>
  <si>
    <t xml:space="preserve">vigadexa-gotas-fco-x-5-ml</t>
  </si>
  <si>
    <t xml:space="preserve">VIGADEXA GOTAS FCO X 5 ML</t>
  </si>
  <si>
    <t xml:space="preserve">5 ml · 5 Gotas</t>
  </si>
  <si>
    <t xml:space="preserve">VIGADEXA GOTAS FCO X 5 ML medicamento original. Consulta a tu farmacéutico. • Entrega 45-90 min • Original sellado.</t>
  </si>
  <si>
    <t xml:space="preserve">vick-vaporub-unguento-50-gr-x-2-und</t>
  </si>
  <si>
    <t xml:space="preserve">VICK VAPORUB UNGUENTO 50 GR X 2 UND</t>
  </si>
  <si>
    <t xml:space="preserve">50 g · 2 Ungüento</t>
  </si>
  <si>
    <t xml:space="preserve">VICK VAPORUB UNGUENTO 50 GR X 2 UND medicamento original. Consulta a tu farmacéutico. • Entrega 45-90 min • Original sellado.</t>
  </si>
  <si>
    <t xml:space="preserve">viagra-50-mg-tbs-pf-cja-x-2</t>
  </si>
  <si>
    <t xml:space="preserve">VIAGRA 50 MG TBS PF  CJA X 2</t>
  </si>
  <si>
    <t xml:space="preserve">VIAGRA 50 MG TBS PF  CJA X 2 medicamento original. Consulta a tu farmacéutico. • Entrega 45-90 min • Original sellado.</t>
  </si>
  <si>
    <t xml:space="preserve">ventilan-osp-aerosol</t>
  </si>
  <si>
    <t xml:space="preserve">VENTILAN OSP AEROSOL</t>
  </si>
  <si>
    <t xml:space="preserve">VENTILAN OSP AEROSOL medicamento original. Consulta a tu farmacéutico. • Entrega 45-90 min • Original sellado.</t>
  </si>
  <si>
    <t xml:space="preserve">valsartan-80-mg-tbs-gf-cja-x-14</t>
  </si>
  <si>
    <t xml:space="preserve">VALSARTAN 80 MG TBS GF CJA X 14</t>
  </si>
  <si>
    <t xml:space="preserve">VALSARTAN 80 MG TBS GF CJA X 14 medicamento original. Consulta a tu farmacéutico. • Entrega 45-90 min • Original sellado.</t>
  </si>
  <si>
    <t xml:space="preserve">valsartan-160-mg-capsulas-mk-cja-x-30</t>
  </si>
  <si>
    <t xml:space="preserve">VALSARTAN 160 MG CAPSULAS MK  CJA X 30</t>
  </si>
  <si>
    <t xml:space="preserve">160 mg · 30 Cápsulas</t>
  </si>
  <si>
    <t xml:space="preserve">VALSARTAN 160 MG CAPSULAS MK  CJA X 30 medicamento original. Consulta a tu farmacéutico. • Entrega 45-90 min • Original sellado.</t>
  </si>
  <si>
    <t xml:space="preserve">unesia-crema-antimicotico</t>
  </si>
  <si>
    <t xml:space="preserve">UNESIA CREMA ANTIMICOTICO</t>
  </si>
  <si>
    <t xml:space="preserve">Unesia</t>
  </si>
  <si>
    <t xml:space="preserve">UNESIA CREMA ANTIMICOTICO medicamento original. Consulta a tu farmacéutico. • Entrega 45-90 min • Original sellado.</t>
  </si>
  <si>
    <t xml:space="preserve">tukol-d-expectorante-fco-x-125ml</t>
  </si>
  <si>
    <t xml:space="preserve">TUKOL-D EXPECTORANTE  FCO X 125ML</t>
  </si>
  <si>
    <t xml:space="preserve">Tukol</t>
  </si>
  <si>
    <t xml:space="preserve">TUKOL-D EXPECTORANTE  FCO X 125ML medicamento original. Consulta a tu farmacéutico. • Entrega 45-90 min • Original sellado.</t>
  </si>
  <si>
    <t xml:space="preserve">tukhelix-propoleo-adulto-expect-fco-x-120-ml</t>
  </si>
  <si>
    <t xml:space="preserve">TUKHELIX PROPOLEO ADULTO EXPECT FCO X 120 ML</t>
  </si>
  <si>
    <t xml:space="preserve">120 ml · 120 unidades</t>
  </si>
  <si>
    <t xml:space="preserve">TUKHELIX PROPOLEO ADULTO EXPECT FCO X 120 ML medicamento original. Consulta a tu farmacéutico. • Entrega 45-90 min • Original sellado.</t>
  </si>
  <si>
    <t xml:space="preserve">omega-3-6-9-softgels-fco-x-50-icom</t>
  </si>
  <si>
    <t xml:space="preserve">OMEGA 3-6-9 SOFTGELS FCO X 50 ICOM</t>
  </si>
  <si>
    <t xml:space="preserve">OMEGA 3-6-9 SOFTGELS FCO X 50 ICOM medicamento original. Consulta a tu farmacéutico. • Entrega 45-90 min • Original sellado.</t>
  </si>
  <si>
    <t xml:space="preserve">trimebutina-simeticona-200-120mg-pc-cja-x-30</t>
  </si>
  <si>
    <t xml:space="preserve">TRIMEBUTINA SIMETICONA 200/120MG PC CJA X 30</t>
  </si>
  <si>
    <t xml:space="preserve">TRIMEBUTINA SIMETICONA 200/120MG PC CJA X 30 medicamento original. Consulta a tu farmacéutico. • Entrega 45-90 min • Original sellado.</t>
  </si>
  <si>
    <t xml:space="preserve">trimebutina-200-mg-tbs-expofarma-x-20</t>
  </si>
  <si>
    <t xml:space="preserve">TRIMEBUTINA 200 MG TBS EXPOFARMA X 20</t>
  </si>
  <si>
    <t xml:space="preserve">200 mg · 20 Tabletas</t>
  </si>
  <si>
    <t xml:space="preserve">TRIMEBUTINA 200 MG TBS EXPOFARMA X 20 medicamento original. Consulta a tu farmacéutico. • Entrega 45-90 min • Original sellado.</t>
  </si>
  <si>
    <t xml:space="preserve">trigentax-crema-20-gr</t>
  </si>
  <si>
    <t xml:space="preserve">TRIGENTAX CREMA  20 GR</t>
  </si>
  <si>
    <t xml:space="preserve">TRIGENTAX CREMA  20 GR medicamento original. Consulta a tu farmacéutico. • Entrega 45-90 min • Original sellado.</t>
  </si>
  <si>
    <t xml:space="preserve">traumeel-heel-gotas-fco-x-30-ml</t>
  </si>
  <si>
    <t xml:space="preserve">TRAUMEEL HEEL GOTAS  FCO X 30 ML</t>
  </si>
  <si>
    <t xml:space="preserve">30 ml · 30 Gotas</t>
  </si>
  <si>
    <t xml:space="preserve">TRAUMEEL HEEL GOTAS  FCO X 30 ML medicamento original. Consulta a tu farmacéutico. • Entrega 45-90 min • Original sellado.</t>
  </si>
  <si>
    <t xml:space="preserve">travad-colonpeg-cereza-cja-x-4-sobres</t>
  </si>
  <si>
    <t xml:space="preserve">TRAVAD COLONPEG CEREZA  CJA X 4 SOBRES</t>
  </si>
  <si>
    <t xml:space="preserve">TRAVAD COLONPEG CEREZA  CJA X 4 SOBRES medicamento original. Consulta a tu farmacéutico. • Entrega 45-90 min • Original sellado.</t>
  </si>
  <si>
    <t xml:space="preserve">trat-nutribela-pro-hialuronico-fco-x-300-ml</t>
  </si>
  <si>
    <t xml:space="preserve">TRAT.NUTRIBELA PRO HIALURONICO FCO X 300 ML</t>
  </si>
  <si>
    <t xml:space="preserve">300 ml · 300 unidades</t>
  </si>
  <si>
    <t xml:space="preserve">belleza</t>
  </si>
  <si>
    <t xml:space="preserve">TRAT.NUTRIBELA PRO HIALURONICO FCO X 300 ML belleza. • Entrega 45-90 min • Original sellado.</t>
  </si>
  <si>
    <t xml:space="preserve">tramadol-100-mg-gotas-gf-fco-x-10ml</t>
  </si>
  <si>
    <t xml:space="preserve">TRAMADOL 100 MG GOTAS GF  FCO X 10ML</t>
  </si>
  <si>
    <t xml:space="preserve">TRAMADOL 100 MG GOTAS GF  FCO X 10ML medicamento original. Consulta a tu farmacéutico. • Entrega 45-90 min • Original sellado.</t>
  </si>
  <si>
    <t xml:space="preserve">tranexan-500-mg-tbs-cja-x-10</t>
  </si>
  <si>
    <t xml:space="preserve">TRANEXAN 500 MG TBS  CJA X 10</t>
  </si>
  <si>
    <t xml:space="preserve">TRANEXAN 500 MG TBS  CJA X 10 medicamento original. Consulta a tu farmacéutico. • Entrega 45-90 min • Original sellado.</t>
  </si>
  <si>
    <t xml:space="preserve">trat-minoxidil-5-locion-genfar-fco-x-60-ml</t>
  </si>
  <si>
    <t xml:space="preserve">TRAT.MINOXIDIL 5% LOCION GENFAR FCO X   60 ML</t>
  </si>
  <si>
    <t xml:space="preserve">60 ml · 60 Loción</t>
  </si>
  <si>
    <t xml:space="preserve">TRAT.MINOXIDIL 5% LOCION GENFAR FCO X   60 ML belleza. • Entrega 45-90 min • Original sellado.</t>
  </si>
  <si>
    <t xml:space="preserve">tobraoftal-0-3-solu-oftal</t>
  </si>
  <si>
    <t xml:space="preserve">TOBRAOFTAL 0.3% SOLU.OFTAL.</t>
  </si>
  <si>
    <t xml:space="preserve">TOBRAOFTAL 0.3% SOLU.OFTAL. medicamento original. Consulta a tu farmacéutico. • Entrega 45-90 min • Original sellado.</t>
  </si>
  <si>
    <t xml:space="preserve">toa-tena-mujer-mini-alas-paq-x-30-und</t>
  </si>
  <si>
    <t xml:space="preserve">TOA.TENA MUJER MINI ALAS  PAQ X 30 UND</t>
  </si>
  <si>
    <t xml:space="preserve">Tena</t>
  </si>
  <si>
    <t xml:space="preserve">TOA.TENA MUJER MINI ALAS  PAQ X 30 UND cuidado diario. • Entrega 45-90 min • Original sellado.</t>
  </si>
  <si>
    <t xml:space="preserve">toa-tena-mujer-medium-paq-x-10-und</t>
  </si>
  <si>
    <t xml:space="preserve">TOA.TENA MUJER MEDIUM  PAQ X 10 UND</t>
  </si>
  <si>
    <t xml:space="preserve">10 unidades</t>
  </si>
  <si>
    <t xml:space="preserve">TOA.TENA MUJER MEDIUM  PAQ X 10 UND cuidado diario. • Entrega 45-90 min • Original sellado.</t>
  </si>
  <si>
    <t xml:space="preserve">toa-tena-mujer-maxi-x-10-und</t>
  </si>
  <si>
    <t xml:space="preserve">TOA.TENA MUJER MAXI X 10 UND</t>
  </si>
  <si>
    <t xml:space="preserve">TOA.TENA MUJER MAXI X 10 UND cuidado diario. • Entrega 45-90 min • Original sellado.</t>
  </si>
  <si>
    <t xml:space="preserve">toa-nosotras-inv-rapigel-paq-x-30</t>
  </si>
  <si>
    <t xml:space="preserve">TOA.NOSOTRAS INV.RAPIGEL PAQ X 30</t>
  </si>
  <si>
    <t xml:space="preserve">TOA.NOSOTRAS INV.RAPIGEL PAQ X 30 cuidado diario. • Entrega 45-90 min • Original sellado.</t>
  </si>
  <si>
    <t xml:space="preserve">toa-nosotras-b-noches-10uds-4-toa-b-noch</t>
  </si>
  <si>
    <t xml:space="preserve">TOA.NOSOTRAS B.NOCHES 10UDS+4 TOA.B.NOCH</t>
  </si>
  <si>
    <t xml:space="preserve">TOA.NOSOTRAS B.NOCHES 10UDS+4 TOA.B.NOCH cuidado diario. • Entrega 45-90 min • Original sellado.</t>
  </si>
  <si>
    <t xml:space="preserve">tiroxin-88-mcg-tbs-sie-cja-x-50</t>
  </si>
  <si>
    <t xml:space="preserve">TIROXIN 88 MCG TBS SIE CJA X 50</t>
  </si>
  <si>
    <t xml:space="preserve">88 mcg · 50 Tabletas</t>
  </si>
  <si>
    <t xml:space="preserve">TIROXIN 88 MCG TBS SIE CJA X 50 medicamento original. Consulta a tu farmacéutico. • Entrega 45-90 min • Original sellado.</t>
  </si>
  <si>
    <t xml:space="preserve">tiocolfen-400-mg-tbs-cja-x-15</t>
  </si>
  <si>
    <t xml:space="preserve">TIOCOLFEN 400 MG TBS  CJA X 15</t>
  </si>
  <si>
    <t xml:space="preserve">400 mg · 15 Tabletas</t>
  </si>
  <si>
    <t xml:space="preserve">TIOCOLFEN 400 MG TBS  CJA X 15 medicamento original. Consulta a tu farmacéutico. • Entrega 45-90 min • Original sellado.</t>
  </si>
  <si>
    <t xml:space="preserve">tinte-coloris-635-rub-osc</t>
  </si>
  <si>
    <t xml:space="preserve">TINTE COLORIS 635 RUB/OSC</t>
  </si>
  <si>
    <t xml:space="preserve">TINTE COLORIS 635 RUB/OSC belleza. • Entrega 45-90 min • Original sellado.</t>
  </si>
  <si>
    <t xml:space="preserve">tinte-bigen-n-58-negr-int</t>
  </si>
  <si>
    <t xml:space="preserve">TINTE BIGEN N.58 NEGR/INT</t>
  </si>
  <si>
    <t xml:space="preserve">TINTE BIGEN N.58 NEGR/INT belleza. • Entrega 45-90 min • Original sellado.</t>
  </si>
  <si>
    <t xml:space="preserve">tensiometro-digital-muneca-alfasafe-hk-6</t>
  </si>
  <si>
    <t xml:space="preserve">TENSIOMETRO DIGITAL MUNECA ALFASAFE HK-6</t>
  </si>
  <si>
    <t xml:space="preserve">TENSIOMETRO DIGITAL MUNECA ALFASAFE HK-6 complemento nutricional. • Entrega 45-90 min • Original sellado.</t>
  </si>
  <si>
    <t xml:space="preserve">tena-pants-clasico-medium-paq-x-8</t>
  </si>
  <si>
    <t xml:space="preserve">TENA PANTS CLASICO MEDIUM  PAQ X 8</t>
  </si>
  <si>
    <t xml:space="preserve">TENA PANTS CLASICO MEDIUM  PAQ X 8 cuidado diario. • Entrega 45-90 min • Original sellado.</t>
  </si>
  <si>
    <t xml:space="preserve">tena-mujer-super-paq-x-30</t>
  </si>
  <si>
    <t xml:space="preserve">TENA MUJER SUPER PAQ X 30</t>
  </si>
  <si>
    <t xml:space="preserve">TENA MUJER SUPER PAQ X 30 cuidado diario. • Entrega 45-90 min • Original sellado.</t>
  </si>
  <si>
    <t xml:space="preserve">tena-f-men-noche-protec-cja-x-20-ofert</t>
  </si>
  <si>
    <t xml:space="preserve">TENA F/MEN NOCHE PROTEC. CJA X 20  OFERT</t>
  </si>
  <si>
    <t xml:space="preserve">20 unidades</t>
  </si>
  <si>
    <t xml:space="preserve">TENA F/MEN NOCHE PROTEC. CJA X 20  OFERT cuidado diario. • Entrega 45-90 min • Original sellado.</t>
  </si>
  <si>
    <t xml:space="preserve">tarrito-rojo-tradicio-330-gr-fresa-80gr</t>
  </si>
  <si>
    <t xml:space="preserve">TARRITO ROJO TRADICIO 330 GR + FRESA 80GR</t>
  </si>
  <si>
    <t xml:space="preserve">TARRITO ROJO TRADICIO 330 GR + FRESA 80GR complemento nutricional. • Entrega 45-90 min • Original sellado.</t>
  </si>
  <si>
    <t xml:space="preserve">tampon-ob-siempre-libre-orig-super-cja-x-16</t>
  </si>
  <si>
    <t xml:space="preserve">TAMPON OB SIEMPRE LIBRE ORIG SUPER  CJA X 16</t>
  </si>
  <si>
    <t xml:space="preserve">16 unidades</t>
  </si>
  <si>
    <t xml:space="preserve">TAMPON OB SIEMPRE LIBRE ORIG SUPER  CJA X 16 cuidado diario. • Entrega 45-90 min • Original sellado.</t>
  </si>
  <si>
    <t xml:space="preserve">tamp-kotex-ev-dig-super-20-12-uds-ofe</t>
  </si>
  <si>
    <t xml:space="preserve">TAMP.KOTEX EV.DIG.SUPER 20 + 12 UDS  OFE</t>
  </si>
  <si>
    <t xml:space="preserve">Kotex</t>
  </si>
  <si>
    <t xml:space="preserve">12 unidades</t>
  </si>
  <si>
    <t xml:space="preserve">TAMP.KOTEX EV.DIG.SUPER 20 + 12 UDS  OFE cuidado diario. • Entrega 45-90 min • Original sellado.</t>
  </si>
  <si>
    <t xml:space="preserve">tamp-kotex-ev-dig-medio-20-12-uds-ofe</t>
  </si>
  <si>
    <t xml:space="preserve">TAMP.KOTEX EV.DIG.MEDIO 20 + 12 UDS  OFE</t>
  </si>
  <si>
    <t xml:space="preserve">TAMP.KOTEX EV.DIG.MEDIO 20 + 12 UDS  OFE cuidado diario. • Entrega 45-90 min • Original sellado.</t>
  </si>
  <si>
    <t xml:space="preserve">tamp-kotex-dig-sup-paq-x-12</t>
  </si>
  <si>
    <t xml:space="preserve">TAMP.KOTEX DIG.SUP. PAQ X 12</t>
  </si>
  <si>
    <t xml:space="preserve">TAMP.KOTEX DIG.SUP. PAQ X 12 cuidado diario. • Entrega 45-90 min • Original sellado.</t>
  </si>
  <si>
    <t xml:space="preserve">talco-mexsana-lady-300-gr-fco-85-grs-oferta</t>
  </si>
  <si>
    <t xml:space="preserve">TALCO.MEXSANA LADY 300 GR + FCO 85 GRS OFERTA</t>
  </si>
  <si>
    <t xml:space="preserve">Mexsana</t>
  </si>
  <si>
    <t xml:space="preserve">TALCO.MEXSANA LADY 300 GR + FCO 85 GRS OFERTA cuidado diario. • Entrega 45-90 min • Original sellado.</t>
  </si>
  <si>
    <t xml:space="preserve">talc-mexsana-300gr-talc-85-gr-oferta</t>
  </si>
  <si>
    <t xml:space="preserve">TALC.MEXSANA 300GR + TALC 85 GR  OFERTA</t>
  </si>
  <si>
    <t xml:space="preserve">TALC.MEXSANA 300GR + TALC 85 GR  OFERTA cuidado diario. • Entrega 45-90 min • Original sellado.</t>
  </si>
  <si>
    <t xml:space="preserve">talc-jj-baby-original-200-gr</t>
  </si>
  <si>
    <t xml:space="preserve">TALC.JJ BABY ORIGINAL  200 GR</t>
  </si>
  <si>
    <t xml:space="preserve">TALC.JJ BABY ORIGINAL  200 GR cuidado suave bebé. • Entrega 45-90 min • Original sellado.</t>
  </si>
  <si>
    <t xml:space="preserve">systane-gotas-15-ml-3</t>
  </si>
  <si>
    <t xml:space="preserve">SYSTANE GOTAS  15 ML</t>
  </si>
  <si>
    <t xml:space="preserve">SYSTANE GOTAS  15 ML medicamento original. Consulta a tu farmacéutico. • Entrega 45-90 min • Original sellado.</t>
  </si>
  <si>
    <t xml:space="preserve">suero-electrolit-oral-mora-azul-fco-x-625ml</t>
  </si>
  <si>
    <t xml:space="preserve">SUERO ELECTROLIT ORAL MORA AZUL  FCO X 625ML</t>
  </si>
  <si>
    <t xml:space="preserve">SUERO ELECTROLIT ORAL MORA AZUL  FCO X 625ML medicamento original. Consulta a tu farmacéutico. • Entrega 45-90 min • Original sellado.</t>
  </si>
  <si>
    <t xml:space="preserve">stamyl-tabletas-cja-x-20</t>
  </si>
  <si>
    <t xml:space="preserve">STAMYL TABLETAS  CJA X 20</t>
  </si>
  <si>
    <t xml:space="preserve">STAMYL TABLETAS  CJA X 20 medicamento original. Consulta a tu farmacéutico. • Entrega 45-90 min • Original sellado.</t>
  </si>
  <si>
    <t xml:space="preserve">stamyl-forte-tbs-cja-x-20</t>
  </si>
  <si>
    <t xml:space="preserve">STAMYL FORTE TBS  CJA X 20</t>
  </si>
  <si>
    <t xml:space="preserve">STAMYL FORTE TBS  CJA X 20 medicamento original. Consulta a tu farmacéutico. • Entrega 45-90 min • Original sellado.</t>
  </si>
  <si>
    <t xml:space="preserve">smecta-3-gr-vainilla-cja-x-10</t>
  </si>
  <si>
    <t xml:space="preserve">SMECTA 3 GR VAINILLA  CJA X 10</t>
  </si>
  <si>
    <t xml:space="preserve">3 g · 10 unidades</t>
  </si>
  <si>
    <t xml:space="preserve">SMECTA 3 GR VAINILLA  CJA X 10 medicamento original. Consulta a tu farmacéutico. • Entrega 45-90 min • Original sellado.</t>
  </si>
  <si>
    <t xml:space="preserve">slinda-drospirenona-4mg</t>
  </si>
  <si>
    <t xml:space="preserve">SLINDA DROSPIRENONA 4MG</t>
  </si>
  <si>
    <t xml:space="preserve">4 mg</t>
  </si>
  <si>
    <t xml:space="preserve">SLINDA DROSPIRENONA 4MG medicamento original. Consulta a tu farmacéutico. • Entrega 45-90 min • Original sellado.</t>
  </si>
  <si>
    <t xml:space="preserve">sinutab-plus-tbs-cja-x-12</t>
  </si>
  <si>
    <t xml:space="preserve">SINUTAB PLUS TBS  CJA X 12</t>
  </si>
  <si>
    <t xml:space="preserve">SINUTAB PLUS TBS  CJA X 12 medicamento original. Consulta a tu farmacéutico. • Entrega 45-90 min • Original sellado.</t>
  </si>
  <si>
    <t xml:space="preserve">sinovul-tbs-cja-x-21</t>
  </si>
  <si>
    <t xml:space="preserve">SINOVUL TBS  CJA X 21</t>
  </si>
  <si>
    <t xml:space="preserve">SINOVUL TBS  CJA X 21 medicamento original. Consulta a tu farmacéutico. • Entrega 45-90 min • Original sellado.</t>
  </si>
  <si>
    <t xml:space="preserve">similac-total-comfort-1-x-360-gr</t>
  </si>
  <si>
    <t xml:space="preserve">SIMILAC TOTAL COMFORT 1  X 360 GR</t>
  </si>
  <si>
    <t xml:space="preserve">360 g · 360 unidades</t>
  </si>
  <si>
    <t xml:space="preserve">SIMILAC TOTAL COMFORT 1  X 360 GR cuidado suave bebé. • Entrega 45-90 min • Original sellado.</t>
  </si>
  <si>
    <t xml:space="preserve">siligas-gotas-30-ml-2</t>
  </si>
  <si>
    <t xml:space="preserve">SILIGAS GOTAS  30 ML</t>
  </si>
  <si>
    <t xml:space="preserve">SILIGAS GOTAS  30 ML medicamento original. Consulta a tu farmacéutico. • Entrega 45-90 min • Original sellado.</t>
  </si>
  <si>
    <t xml:space="preserve">sildenafil-50-mg-tbs-mk-cja-x-4-und</t>
  </si>
  <si>
    <t xml:space="preserve">SILDENAFIL 50 MG TBS MK CJA X 4 UND</t>
  </si>
  <si>
    <t xml:space="preserve">50 mg · 4 Tabletas</t>
  </si>
  <si>
    <t xml:space="preserve">SILDENAFIL 50 MG TBS MK CJA X 4 UND medicamento original. Consulta a tu farmacéutico. • Entrega 45-90 min • Original sellado.</t>
  </si>
  <si>
    <t xml:space="preserve">sildenafil-50-mg-tbs-gf-cja-x-2</t>
  </si>
  <si>
    <t xml:space="preserve">SILDENAFIL 50 MG TBS GF  CJA X 2</t>
  </si>
  <si>
    <t xml:space="preserve">SILDENAFIL 50 MG TBS GF  CJA X 2 medicamento original. Consulta a tu farmacéutico. • Entrega 45-90 min • Original sellado.</t>
  </si>
  <si>
    <t xml:space="preserve">shot-b-capsulas-cja-x-30-oferta-x-2-und</t>
  </si>
  <si>
    <t xml:space="preserve">SHOT B CAPSULAS  CJA X 30  OFERTA X 2 UND</t>
  </si>
  <si>
    <t xml:space="preserve">SHOT B CAPSULAS  CJA X 30  OFERTA X 2 UND medicamento original. Consulta a tu farmacéutico. • Entrega 45-90 min • Original sellado.</t>
  </si>
  <si>
    <t xml:space="preserve">sevedol-extra-fuerte-tbs-cja-x-60</t>
  </si>
  <si>
    <t xml:space="preserve">SEVEDOL EXTRA FUERTE TBS  CJA X 60</t>
  </si>
  <si>
    <t xml:space="preserve">SEVEDOL EXTRA FUERTE TBS  CJA X 60 medicamento original. Consulta a tu farmacéutico. • Entrega 45-90 min • Original sellado.</t>
  </si>
  <si>
    <t xml:space="preserve">seroquel-25-mg-tabletas-cja-x-30</t>
  </si>
  <si>
    <t xml:space="preserve">SEROQUEL 25 MG TABLETAS  CJA X 30</t>
  </si>
  <si>
    <t xml:space="preserve">SEROQUEL 25 MG TABLETAS  CJA X 30 medicamento original. Consulta a tu farmacéutico. • Entrega 45-90 min • Original sellado.</t>
  </si>
  <si>
    <t xml:space="preserve">sda-den-jj-reach-hilo-menta-50-mts</t>
  </si>
  <si>
    <t xml:space="preserve">SDA.DEN.JJ REACH HILO MENTA 50 MTS</t>
  </si>
  <si>
    <t xml:space="preserve">SDA.DEN.JJ REACH HILO MENTA 50 MTS cuidado diario. • Entrega 45-90 min • Original sellado.</t>
  </si>
  <si>
    <t xml:space="preserve">sacrusyt-100-mcg-spr-inhalador</t>
  </si>
  <si>
    <t xml:space="preserve">SACRUSYT 100 MCG SPR.INHALADOR</t>
  </si>
  <si>
    <t xml:space="preserve">100 mcg</t>
  </si>
  <si>
    <t xml:space="preserve">SACRUSYT 100 MCG SPR.INHALADOR medicamento original. Consulta a tu farmacéutico. • Entrega 45-90 min • Original sellado.</t>
  </si>
  <si>
    <t xml:space="preserve">roxicaina-spray-83ml</t>
  </si>
  <si>
    <t xml:space="preserve">ROXICAINA SPRAY 83ML</t>
  </si>
  <si>
    <t xml:space="preserve">83 ml · Spray</t>
  </si>
  <si>
    <t xml:space="preserve">ROXICAINA SPRAY 83ML medicamento original. Consulta a tu farmacéutico. • Entrega 45-90 min • Original sellado.</t>
  </si>
  <si>
    <t xml:space="preserve">roxicaina-pomada-10gr</t>
  </si>
  <si>
    <t xml:space="preserve">ROXICAINA POMADA  10GR</t>
  </si>
  <si>
    <t xml:space="preserve">10 g · Ungüento</t>
  </si>
  <si>
    <t xml:space="preserve">ROXICAINA POMADA  10GR medicamento original. Consulta a tu farmacéutico. • Entrega 45-90 min • Original sellado.</t>
  </si>
  <si>
    <t xml:space="preserve">roxicaina-jalea-30-gr</t>
  </si>
  <si>
    <t xml:space="preserve">ROXICAINA JALEA  30 GR</t>
  </si>
  <si>
    <t xml:space="preserve">30 g</t>
  </si>
  <si>
    <t xml:space="preserve">ROXICAINA JALEA  30 GR medicamento original. Consulta a tu farmacéutico. • Entrega 45-90 min • Original sellado.</t>
  </si>
  <si>
    <t xml:space="preserve">rodalgin-susp-pedia-fco-x-120-ml</t>
  </si>
  <si>
    <t xml:space="preserve">RODALGIN SUSP.PEDIA. FCO X 120 ML</t>
  </si>
  <si>
    <t xml:space="preserve">120 ml · 120 Suspensión</t>
  </si>
  <si>
    <t xml:space="preserve">RODALGIN SUSP.PEDIA. FCO X 120 ML medicamento original. Consulta a tu farmacéutico. • Entrega 45-90 min • Original sellado.</t>
  </si>
  <si>
    <t xml:space="preserve">rep-maq-mach-3-turbo-cja-x-2</t>
  </si>
  <si>
    <t xml:space="preserve">REP.MAQ.MACH-3 TURBO   CJA X 2</t>
  </si>
  <si>
    <t xml:space="preserve">2 unidades</t>
  </si>
  <si>
    <t xml:space="preserve">REP.MAQ.MACH-3 TURBO   CJA X 2 cuidado diario. • Entrega 45-90 min • Original sellado.</t>
  </si>
  <si>
    <t xml:space="preserve">reparil-n-gel-tbo-x-30gr</t>
  </si>
  <si>
    <t xml:space="preserve">REPARIL-N GEL  TBO X 30GR</t>
  </si>
  <si>
    <t xml:space="preserve">REPARIL-N GEL  TBO X 30GR medicamento original. Consulta a tu farmacéutico. • Entrega 45-90 min • Original sellado.</t>
  </si>
  <si>
    <t xml:space="preserve">quetiapina-25-mg-tbs-x-30-genfar</t>
  </si>
  <si>
    <t xml:space="preserve">QUETIAPINA 25 MG TBS  X 30 GENFAR</t>
  </si>
  <si>
    <t xml:space="preserve">QUETIAPINA 25 MG TBS  X 30 GENFAR medicamento original. Consulta a tu farmacéutico. • Entrega 45-90 min • Original sellado.</t>
  </si>
  <si>
    <t xml:space="preserve">qlaira-tbs-x-28</t>
  </si>
  <si>
    <t xml:space="preserve">QLAIRA TBS  X 28</t>
  </si>
  <si>
    <t xml:space="preserve">QLAIRA TBS  X 28 medicamento original. Consulta a tu farmacéutico. • Entrega 45-90 min • Original sellado.</t>
  </si>
  <si>
    <t xml:space="preserve">pyralvex-liquido</t>
  </si>
  <si>
    <t xml:space="preserve">PYRALVEX LIQUIDO</t>
  </si>
  <si>
    <t xml:space="preserve">PYRALVEX LIQUIDO medicamento original. Consulta a tu farmacéutico. • Entrega 45-90 min • Original sellado.</t>
  </si>
  <si>
    <t xml:space="preserve">pulso-oximetro-bioprotec-inplasco</t>
  </si>
  <si>
    <t xml:space="preserve">PULSO OXIMETRO BIOPROTEC INPLASCO</t>
  </si>
  <si>
    <t xml:space="preserve">PULSO OXIMETRO BIOPROTEC INPLASCO medicamento original. Consulta a tu farmacéutico. • Entrega 45-90 min • Original sellado.</t>
  </si>
  <si>
    <t xml:space="preserve">prueba-de-embarazo-clearblue-plus</t>
  </si>
  <si>
    <t xml:space="preserve">PRUEBA DE EMBARAZO CLEARBLUE PLUS</t>
  </si>
  <si>
    <t xml:space="preserve">PRUEBA DE EMBARAZO CLEARBLUE PLUS cuidado diario. • Entrega 45-90 min • Original sellado.</t>
  </si>
  <si>
    <t xml:space="preserve">prot-nosotras-dia-largos-cja-x-50</t>
  </si>
  <si>
    <t xml:space="preserve">PROT.NOSOTRAS .DIA.LARGOS  CJA X 50</t>
  </si>
  <si>
    <t xml:space="preserve">PROT.NOSOTRAS .DIA.LARGOS  CJA X 50 cuidado diario. • Entrega 45-90 min • Original sellado.</t>
  </si>
  <si>
    <t xml:space="preserve">prot-labial-chapstick-medicado</t>
  </si>
  <si>
    <t xml:space="preserve">PROT.LABIAL CHAPSTICK MEDICADO</t>
  </si>
  <si>
    <t xml:space="preserve">PROT.LABIAL CHAPSTICK MEDICADO cuidado diario. • Entrega 45-90 min • Original sellado.</t>
  </si>
  <si>
    <t xml:space="preserve">prot-carefree-regu-cja-x-60</t>
  </si>
  <si>
    <t xml:space="preserve">PROT.CAREFREE REGU. CJA X 60</t>
  </si>
  <si>
    <t xml:space="preserve">60 unidades</t>
  </si>
  <si>
    <t xml:space="preserve">PROT.CAREFREE REGU. CJA X 60 cuidado diario. • Entrega 45-90 min • Original sellado.</t>
  </si>
  <si>
    <t xml:space="preserve">procto-glyvenol-supositorios-cja-x-5</t>
  </si>
  <si>
    <t xml:space="preserve">PROCTO GLYVENOL SUPOSITORIOS  CJA X 5</t>
  </si>
  <si>
    <t xml:space="preserve">5 Supositorios</t>
  </si>
  <si>
    <t xml:space="preserve">varios</t>
  </si>
  <si>
    <t xml:space="preserve">PROCTO GLYVENOL SUPOSITORIOS  CJA X 5 medicamento original. Consulta a tu farmacéutico. • Entrega 45-90 min • Original sellado.</t>
  </si>
  <si>
    <t xml:space="preserve">procicar-nf-crema-60-ml</t>
  </si>
  <si>
    <t xml:space="preserve">PROCICAR-NF CREMA  60 ML</t>
  </si>
  <si>
    <t xml:space="preserve">60 ml · Crema</t>
  </si>
  <si>
    <t xml:space="preserve">PROCICAR-NF CREMA  60 ML medicamento original. Consulta a tu farmacéutico. • Entrega 45-90 min • Original sellado.</t>
  </si>
  <si>
    <t xml:space="preserve">preserv-today-triple-pleasure-cja-x-3</t>
  </si>
  <si>
    <t xml:space="preserve">PRESERV.TODAY TRIPLE PLEASURE  CJA X 3</t>
  </si>
  <si>
    <t xml:space="preserve">3 unidades</t>
  </si>
  <si>
    <t xml:space="preserve">PRESERV.TODAY TRIPLE PLEASURE  CJA X 3 medicamento original. Consulta a tu farmacéutico. • Entrega 45-90 min • Original sellado.</t>
  </si>
  <si>
    <t xml:space="preserve">preserv-today-punto-g-cja-x-3</t>
  </si>
  <si>
    <t xml:space="preserve">PRESERV.TODAY PUNTO G  CJA X 3</t>
  </si>
  <si>
    <t xml:space="preserve">PRESERV.TODAY PUNTO G  CJA X 3 cuidado diario. • Entrega 45-90 min • Original sellado.</t>
  </si>
  <si>
    <t xml:space="preserve">preserv-durex-real-feel-cja-x-3</t>
  </si>
  <si>
    <t xml:space="preserve">PRESERV. DUREX REAL FEEL CJA X 3</t>
  </si>
  <si>
    <t xml:space="preserve">PRESERV. DUREX REAL FEEL CJA X 3 cuidado diario. • Entrega 45-90 min • Original sellado.</t>
  </si>
  <si>
    <t xml:space="preserve">prednisolona-5-mg-tbs-gf-cja-x-30</t>
  </si>
  <si>
    <t xml:space="preserve">PREDNISOLONA 5 MG TBS GF  CJA X 30</t>
  </si>
  <si>
    <t xml:space="preserve">PREDNISOLONA 5 MG TBS GF  CJA X 30 medicamento original. Consulta a tu farmacéutico. • Entrega 45-90 min • Original sellado.</t>
  </si>
  <si>
    <t xml:space="preserve">postday-0-75-mg-tbs-x-2-und</t>
  </si>
  <si>
    <t xml:space="preserve">POSTDAY 0.75 MG TBS  X 2 UND</t>
  </si>
  <si>
    <t xml:space="preserve">0.75 mg · 2 Tabletas</t>
  </si>
  <si>
    <t xml:space="preserve">POSTDAY 0.75 MG TBS  X 2 UND medicamento original. Consulta a tu farmacéutico. • Entrega 45-90 min • Original sellado.</t>
  </si>
  <si>
    <t xml:space="preserve">piroxicam-20-mg-cps-mk-cja-x-10</t>
  </si>
  <si>
    <t xml:space="preserve">PIROXICAM 20 MG CPS MK  CJA X 10</t>
  </si>
  <si>
    <t xml:space="preserve">20 mg · 10 unidades</t>
  </si>
  <si>
    <t xml:space="preserve">PIROXICAM 20 MG CPS MK  CJA X 10 medicamento original. Consulta a tu farmacéutico. • Entrega 45-90 min • Original sellado.</t>
  </si>
  <si>
    <t xml:space="preserve">pila-duracell-alkalina-aaa-dis-x-2</t>
  </si>
  <si>
    <t xml:space="preserve">PILA DURACELL ALKALINA AAA DIS X 2</t>
  </si>
  <si>
    <t xml:space="preserve">PILA DURACELL ALKALINA AAA DIS X 2 en promoción limitada. • Entrega 45-90 min • Original sellado.</t>
  </si>
  <si>
    <t xml:space="preserve">pila-duracell-alkalina-aa-dis-x-2</t>
  </si>
  <si>
    <t xml:space="preserve">PILA DURACELL ALKALINA AA  DIS X 2</t>
  </si>
  <si>
    <t xml:space="preserve">PILA DURACELL ALKALINA AA  DIS X 2 medicamento original. Consulta a tu farmacéutico. • Entrega 45-90 min • Original sellado.</t>
  </si>
  <si>
    <t xml:space="preserve">pepsamar-tabletas-cja-x-100</t>
  </si>
  <si>
    <t xml:space="preserve">PEPSAMAR TABLETAS  CJA X 100</t>
  </si>
  <si>
    <t xml:space="preserve">PEPSAMAR TABLETAS  CJA X 100 medicamento original. Consulta a tu farmacéutico. • Entrega 45-90 min • Original sellado.</t>
  </si>
  <si>
    <t xml:space="preserve">peg-polietilenglicol-sobres-cja-x-12</t>
  </si>
  <si>
    <t xml:space="preserve">PEG POLIETILENGLICOL SOBRES  CJA X 12</t>
  </si>
  <si>
    <t xml:space="preserve">PEG POLIETILENGLICOL SOBRES  CJA X 12 medicamento original. Consulta a tu farmacéutico. • Entrega 45-90 min • Original sellado.</t>
  </si>
  <si>
    <t xml:space="preserve">pediavit-zinc-gotas</t>
  </si>
  <si>
    <t xml:space="preserve">PEDIAVIT ZINC GOTAS</t>
  </si>
  <si>
    <t xml:space="preserve">PEDIAVIT ZINC GOTAS medicamento original. Consulta a tu farmacéutico. • Entrega 45-90 min • Original sellado.</t>
  </si>
  <si>
    <t xml:space="preserve">pediavit-gotas</t>
  </si>
  <si>
    <t xml:space="preserve">PEDIAVIT GOTAS</t>
  </si>
  <si>
    <t xml:space="preserve">PEDIAVIT GOTAS medicamento original. Consulta a tu farmacéutico. • Entrega 45-90 min • Original sellado.</t>
  </si>
  <si>
    <t xml:space="preserve">CÓMO USAR ESTA PLANILLA</t>
  </si>
  <si>
    <t xml:space="preserve">1. Edita solo las celdas en AMARILLO. Las grises (código y % descuento) no se tocan.</t>
  </si>
  <si>
    <t xml:space="preserve">2. La columna NARANJA (¿Requiere fórmula?) la llena SOLO el regente de farmacia.</t>
  </si>
  <si>
    <t xml:space="preserve">3. El precio se escribe como número entero, sin puntos ni signo $: 62900.</t>
  </si>
  <si>
    <t xml:space="preserve">4. El % descuento se calcula solo del precio anterior. Si no hay oferta, deja el precio anterior vacío.</t>
  </si>
  <si>
    <t xml:space="preserve">5. En SI/NO elige de la lista. La categoría también se elige de la lista.</t>
  </si>
  <si>
    <t xml:space="preserve">6. No agregues ni borres filas: para un producto nuevo o eliminado, avísame y lo hago yo.</t>
  </si>
  <si>
    <t xml:space="preserve">7. Guarda y envíame el archivo. Yo lo reviso producto por producto: si algo quedó mal,</t>
  </si>
  <si>
    <t xml:space="preserve">   te digo qué producto, qué pasa y cómo se escribe bien. Nada se publica hasta corregirlo.</t>
  </si>
  <si>
    <t xml:space="preserve">8. La descripción puede mejorarse (presentación, contenido, marca), pero NUNCA lleva</t>
  </si>
  <si>
    <t xml:space="preserve">   para qué sirve el medicamento, dosis ni contraindicaciones: eso lo redacta el regente.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</si>
</sst>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FEFE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FEFEF"/>
      </patternFill>
    </fill>
    <fill>
      <patternFill patternType="solid">
        <fgColor rgb="FFFCE5C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24D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1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D4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13F"/>
    <pageSetUpPr fitToPage="false"/>
  </sheetPr>
  <dimension ref="A1:N4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22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6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6.85" hidden="false" customHeight="false" outlineLevel="0" collapsed="false">
      <c r="A2" s="2" t="s">
        <v>14</v>
      </c>
      <c r="B2" s="3" t="s">
        <v>15</v>
      </c>
      <c r="C2" s="3" t="s">
        <v>16</v>
      </c>
      <c r="D2" s="3"/>
      <c r="E2" s="3" t="s">
        <v>17</v>
      </c>
      <c r="F2" s="3" t="s">
        <v>18</v>
      </c>
      <c r="G2" s="3" t="n">
        <v>62900</v>
      </c>
      <c r="H2" s="3" t="n">
        <v>84915</v>
      </c>
      <c r="I2" s="4" t="n">
        <f aca="false">IF(H2="","",ROUND((H2-G2)/H2*100,0))</f>
        <v>26</v>
      </c>
      <c r="J2" s="3" t="s">
        <v>19</v>
      </c>
      <c r="K2" s="3" t="s">
        <v>20</v>
      </c>
      <c r="L2" s="3"/>
      <c r="M2" s="5"/>
      <c r="N2" s="6" t="s">
        <v>21</v>
      </c>
    </row>
    <row r="3" customFormat="false" ht="26.85" hidden="false" customHeight="false" outlineLevel="0" collapsed="false">
      <c r="A3" s="2" t="s">
        <v>22</v>
      </c>
      <c r="B3" s="3" t="s">
        <v>23</v>
      </c>
      <c r="C3" s="3"/>
      <c r="D3" s="3" t="s">
        <v>24</v>
      </c>
      <c r="E3" s="3" t="s">
        <v>25</v>
      </c>
      <c r="F3" s="3" t="s">
        <v>26</v>
      </c>
      <c r="G3" s="3" t="n">
        <v>61000</v>
      </c>
      <c r="H3" s="3"/>
      <c r="I3" s="4" t="str">
        <f aca="false">IF(H3="","",ROUND((H3-G3)/H3*100,0))</f>
        <v/>
      </c>
      <c r="J3" s="3" t="s">
        <v>19</v>
      </c>
      <c r="K3" s="3" t="s">
        <v>20</v>
      </c>
      <c r="L3" s="3"/>
      <c r="M3" s="5"/>
      <c r="N3" s="6" t="s">
        <v>27</v>
      </c>
    </row>
    <row r="4" customFormat="false" ht="26.85" hidden="false" customHeight="false" outlineLevel="0" collapsed="false">
      <c r="A4" s="2" t="s">
        <v>28</v>
      </c>
      <c r="B4" s="3" t="s">
        <v>29</v>
      </c>
      <c r="C4" s="3" t="s">
        <v>30</v>
      </c>
      <c r="D4" s="3" t="s">
        <v>31</v>
      </c>
      <c r="E4" s="3" t="s">
        <v>17</v>
      </c>
      <c r="F4" s="3" t="s">
        <v>18</v>
      </c>
      <c r="G4" s="3" t="n">
        <v>38900</v>
      </c>
      <c r="H4" s="3"/>
      <c r="I4" s="4" t="str">
        <f aca="false">IF(H4="","",ROUND((H4-G4)/H4*100,0))</f>
        <v/>
      </c>
      <c r="J4" s="3" t="s">
        <v>19</v>
      </c>
      <c r="K4" s="3" t="s">
        <v>20</v>
      </c>
      <c r="L4" s="3"/>
      <c r="M4" s="5"/>
      <c r="N4" s="6" t="s">
        <v>32</v>
      </c>
    </row>
    <row r="5" customFormat="false" ht="26.85" hidden="false" customHeight="false" outlineLevel="0" collapsed="false">
      <c r="A5" s="2" t="s">
        <v>33</v>
      </c>
      <c r="B5" s="3" t="s">
        <v>34</v>
      </c>
      <c r="C5" s="3"/>
      <c r="D5" s="3" t="s">
        <v>35</v>
      </c>
      <c r="E5" s="3" t="s">
        <v>36</v>
      </c>
      <c r="F5" s="3" t="s">
        <v>37</v>
      </c>
      <c r="G5" s="3" t="n">
        <v>6200</v>
      </c>
      <c r="H5" s="3"/>
      <c r="I5" s="4" t="str">
        <f aca="false">IF(H5="","",ROUND((H5-G5)/H5*100,0))</f>
        <v/>
      </c>
      <c r="J5" s="3" t="s">
        <v>19</v>
      </c>
      <c r="K5" s="3" t="s">
        <v>20</v>
      </c>
      <c r="L5" s="3"/>
      <c r="M5" s="5"/>
      <c r="N5" s="6" t="s">
        <v>38</v>
      </c>
    </row>
    <row r="6" customFormat="false" ht="26.85" hidden="false" customHeight="false" outlineLevel="0" collapsed="false">
      <c r="A6" s="2" t="s">
        <v>39</v>
      </c>
      <c r="B6" s="3" t="s">
        <v>40</v>
      </c>
      <c r="C6" s="3"/>
      <c r="D6" s="3" t="s">
        <v>41</v>
      </c>
      <c r="E6" s="3" t="s">
        <v>36</v>
      </c>
      <c r="F6" s="3" t="s">
        <v>37</v>
      </c>
      <c r="G6" s="3" t="n">
        <v>13000</v>
      </c>
      <c r="H6" s="3"/>
      <c r="I6" s="4" t="str">
        <f aca="false">IF(H6="","",ROUND((H6-G6)/H6*100,0))</f>
        <v/>
      </c>
      <c r="J6" s="3" t="s">
        <v>19</v>
      </c>
      <c r="K6" s="3" t="s">
        <v>20</v>
      </c>
      <c r="L6" s="3"/>
      <c r="M6" s="5"/>
      <c r="N6" s="6" t="s">
        <v>42</v>
      </c>
    </row>
    <row r="7" customFormat="false" ht="39.55" hidden="false" customHeight="false" outlineLevel="0" collapsed="false">
      <c r="A7" s="2" t="s">
        <v>43</v>
      </c>
      <c r="B7" s="3" t="s">
        <v>44</v>
      </c>
      <c r="C7" s="3"/>
      <c r="D7" s="3" t="s">
        <v>45</v>
      </c>
      <c r="E7" s="3" t="s">
        <v>17</v>
      </c>
      <c r="F7" s="3" t="s">
        <v>46</v>
      </c>
      <c r="G7" s="3" t="n">
        <v>38500</v>
      </c>
      <c r="H7" s="3"/>
      <c r="I7" s="4" t="str">
        <f aca="false">IF(H7="","",ROUND((H7-G7)/H7*100,0))</f>
        <v/>
      </c>
      <c r="J7" s="3" t="s">
        <v>19</v>
      </c>
      <c r="K7" s="3" t="s">
        <v>20</v>
      </c>
      <c r="L7" s="3"/>
      <c r="M7" s="5"/>
      <c r="N7" s="6" t="s">
        <v>47</v>
      </c>
    </row>
    <row r="8" customFormat="false" ht="26.85" hidden="false" customHeight="false" outlineLevel="0" collapsed="false">
      <c r="A8" s="2" t="s">
        <v>48</v>
      </c>
      <c r="B8" s="3" t="s">
        <v>49</v>
      </c>
      <c r="C8" s="3"/>
      <c r="D8" s="3" t="s">
        <v>50</v>
      </c>
      <c r="E8" s="3" t="s">
        <v>36</v>
      </c>
      <c r="F8" s="3" t="s">
        <v>46</v>
      </c>
      <c r="G8" s="3" t="n">
        <v>5500</v>
      </c>
      <c r="H8" s="3"/>
      <c r="I8" s="4" t="str">
        <f aca="false">IF(H8="","",ROUND((H8-G8)/H8*100,0))</f>
        <v/>
      </c>
      <c r="J8" s="3" t="s">
        <v>19</v>
      </c>
      <c r="K8" s="3" t="s">
        <v>20</v>
      </c>
      <c r="L8" s="3"/>
      <c r="M8" s="5"/>
      <c r="N8" s="6" t="s">
        <v>51</v>
      </c>
    </row>
    <row r="9" customFormat="false" ht="26.85" hidden="false" customHeight="false" outlineLevel="0" collapsed="false">
      <c r="A9" s="2" t="s">
        <v>52</v>
      </c>
      <c r="B9" s="3" t="s">
        <v>53</v>
      </c>
      <c r="C9" s="3"/>
      <c r="D9" s="3" t="s">
        <v>54</v>
      </c>
      <c r="E9" s="3" t="s">
        <v>36</v>
      </c>
      <c r="F9" s="3" t="s">
        <v>46</v>
      </c>
      <c r="G9" s="3" t="n">
        <v>12300</v>
      </c>
      <c r="H9" s="3"/>
      <c r="I9" s="4" t="str">
        <f aca="false">IF(H9="","",ROUND((H9-G9)/H9*100,0))</f>
        <v/>
      </c>
      <c r="J9" s="3" t="s">
        <v>19</v>
      </c>
      <c r="K9" s="3" t="s">
        <v>20</v>
      </c>
      <c r="L9" s="3"/>
      <c r="M9" s="5"/>
      <c r="N9" s="6" t="s">
        <v>55</v>
      </c>
    </row>
    <row r="10" customFormat="false" ht="39.55" hidden="false" customHeight="false" outlineLevel="0" collapsed="false">
      <c r="A10" s="2" t="s">
        <v>56</v>
      </c>
      <c r="B10" s="3" t="s">
        <v>57</v>
      </c>
      <c r="C10" s="3"/>
      <c r="D10" s="3" t="s">
        <v>58</v>
      </c>
      <c r="E10" s="3" t="s">
        <v>17</v>
      </c>
      <c r="F10" s="3" t="s">
        <v>46</v>
      </c>
      <c r="G10" s="3" t="n">
        <v>19800</v>
      </c>
      <c r="H10" s="3"/>
      <c r="I10" s="4" t="str">
        <f aca="false">IF(H10="","",ROUND((H10-G10)/H10*100,0))</f>
        <v/>
      </c>
      <c r="J10" s="3" t="s">
        <v>19</v>
      </c>
      <c r="K10" s="3" t="s">
        <v>20</v>
      </c>
      <c r="L10" s="3"/>
      <c r="M10" s="5"/>
      <c r="N10" s="6" t="s">
        <v>59</v>
      </c>
    </row>
    <row r="11" customFormat="false" ht="26.85" hidden="false" customHeight="false" outlineLevel="0" collapsed="false">
      <c r="A11" s="2" t="s">
        <v>60</v>
      </c>
      <c r="B11" s="3" t="s">
        <v>61</v>
      </c>
      <c r="C11" s="3"/>
      <c r="D11" s="3" t="s">
        <v>62</v>
      </c>
      <c r="E11" s="3" t="s">
        <v>36</v>
      </c>
      <c r="F11" s="3" t="s">
        <v>46</v>
      </c>
      <c r="G11" s="3" t="n">
        <v>9200</v>
      </c>
      <c r="H11" s="3"/>
      <c r="I11" s="4" t="str">
        <f aca="false">IF(H11="","",ROUND((H11-G11)/H11*100,0))</f>
        <v/>
      </c>
      <c r="J11" s="3" t="s">
        <v>19</v>
      </c>
      <c r="K11" s="3" t="s">
        <v>20</v>
      </c>
      <c r="L11" s="3"/>
      <c r="M11" s="5"/>
      <c r="N11" s="6" t="s">
        <v>63</v>
      </c>
    </row>
    <row r="12" customFormat="false" ht="26.85" hidden="false" customHeight="false" outlineLevel="0" collapsed="false">
      <c r="A12" s="2" t="s">
        <v>64</v>
      </c>
      <c r="B12" s="3" t="s">
        <v>65</v>
      </c>
      <c r="C12" s="3"/>
      <c r="D12" s="3" t="s">
        <v>50</v>
      </c>
      <c r="E12" s="3" t="s">
        <v>36</v>
      </c>
      <c r="F12" s="3" t="s">
        <v>46</v>
      </c>
      <c r="G12" s="3" t="n">
        <v>10700</v>
      </c>
      <c r="H12" s="3"/>
      <c r="I12" s="4" t="str">
        <f aca="false">IF(H12="","",ROUND((H12-G12)/H12*100,0))</f>
        <v/>
      </c>
      <c r="J12" s="3" t="s">
        <v>19</v>
      </c>
      <c r="K12" s="3" t="s">
        <v>20</v>
      </c>
      <c r="L12" s="3"/>
      <c r="M12" s="5"/>
      <c r="N12" s="6" t="s">
        <v>66</v>
      </c>
    </row>
    <row r="13" customFormat="false" ht="26.85" hidden="false" customHeight="false" outlineLevel="0" collapsed="false">
      <c r="A13" s="2" t="s">
        <v>67</v>
      </c>
      <c r="B13" s="3" t="s">
        <v>68</v>
      </c>
      <c r="C13" s="3"/>
      <c r="D13" s="3" t="s">
        <v>69</v>
      </c>
      <c r="E13" s="3" t="s">
        <v>17</v>
      </c>
      <c r="F13" s="3" t="s">
        <v>70</v>
      </c>
      <c r="G13" s="3" t="n">
        <v>14500</v>
      </c>
      <c r="H13" s="3"/>
      <c r="I13" s="4" t="str">
        <f aca="false">IF(H13="","",ROUND((H13-G13)/H13*100,0))</f>
        <v/>
      </c>
      <c r="J13" s="3" t="s">
        <v>19</v>
      </c>
      <c r="K13" s="3" t="s">
        <v>20</v>
      </c>
      <c r="L13" s="3"/>
      <c r="M13" s="5"/>
      <c r="N13" s="6" t="s">
        <v>71</v>
      </c>
    </row>
    <row r="14" customFormat="false" ht="26.85" hidden="false" customHeight="false" outlineLevel="0" collapsed="false">
      <c r="A14" s="2" t="s">
        <v>72</v>
      </c>
      <c r="B14" s="3" t="s">
        <v>73</v>
      </c>
      <c r="C14" s="3"/>
      <c r="D14" s="3" t="s">
        <v>74</v>
      </c>
      <c r="E14" s="3" t="s">
        <v>17</v>
      </c>
      <c r="F14" s="3" t="s">
        <v>70</v>
      </c>
      <c r="G14" s="3" t="n">
        <v>20300</v>
      </c>
      <c r="H14" s="3"/>
      <c r="I14" s="4" t="str">
        <f aca="false">IF(H14="","",ROUND((H14-G14)/H14*100,0))</f>
        <v/>
      </c>
      <c r="J14" s="3" t="s">
        <v>19</v>
      </c>
      <c r="K14" s="3" t="s">
        <v>20</v>
      </c>
      <c r="L14" s="3"/>
      <c r="M14" s="5"/>
      <c r="N14" s="6" t="s">
        <v>75</v>
      </c>
    </row>
    <row r="15" customFormat="false" ht="26.85" hidden="false" customHeight="false" outlineLevel="0" collapsed="false">
      <c r="A15" s="2" t="s">
        <v>76</v>
      </c>
      <c r="B15" s="3" t="s">
        <v>77</v>
      </c>
      <c r="C15" s="3"/>
      <c r="D15" s="3" t="s">
        <v>78</v>
      </c>
      <c r="E15" s="3" t="s">
        <v>17</v>
      </c>
      <c r="F15" s="3" t="s">
        <v>70</v>
      </c>
      <c r="G15" s="3" t="n">
        <v>12700</v>
      </c>
      <c r="H15" s="3"/>
      <c r="I15" s="4" t="str">
        <f aca="false">IF(H15="","",ROUND((H15-G15)/H15*100,0))</f>
        <v/>
      </c>
      <c r="J15" s="3" t="s">
        <v>19</v>
      </c>
      <c r="K15" s="3" t="s">
        <v>20</v>
      </c>
      <c r="L15" s="3"/>
      <c r="M15" s="5"/>
      <c r="N15" s="6" t="s">
        <v>79</v>
      </c>
    </row>
    <row r="16" customFormat="false" ht="26.85" hidden="false" customHeight="false" outlineLevel="0" collapsed="false">
      <c r="A16" s="2" t="s">
        <v>80</v>
      </c>
      <c r="B16" s="3" t="s">
        <v>81</v>
      </c>
      <c r="C16" s="3"/>
      <c r="D16" s="3" t="s">
        <v>82</v>
      </c>
      <c r="E16" s="3" t="s">
        <v>36</v>
      </c>
      <c r="F16" s="3" t="s">
        <v>83</v>
      </c>
      <c r="G16" s="3" t="n">
        <v>19000</v>
      </c>
      <c r="H16" s="3"/>
      <c r="I16" s="4" t="str">
        <f aca="false">IF(H16="","",ROUND((H16-G16)/H16*100,0))</f>
        <v/>
      </c>
      <c r="J16" s="3" t="s">
        <v>19</v>
      </c>
      <c r="K16" s="3" t="s">
        <v>20</v>
      </c>
      <c r="L16" s="3"/>
      <c r="M16" s="5"/>
      <c r="N16" s="6" t="s">
        <v>84</v>
      </c>
    </row>
    <row r="17" customFormat="false" ht="26.85" hidden="false" customHeight="false" outlineLevel="0" collapsed="false">
      <c r="A17" s="2" t="s">
        <v>85</v>
      </c>
      <c r="B17" s="3" t="s">
        <v>86</v>
      </c>
      <c r="C17" s="3"/>
      <c r="D17" s="3" t="s">
        <v>87</v>
      </c>
      <c r="E17" s="3" t="s">
        <v>36</v>
      </c>
      <c r="F17" s="3" t="s">
        <v>83</v>
      </c>
      <c r="G17" s="3" t="n">
        <v>32600</v>
      </c>
      <c r="H17" s="3" t="n">
        <v>44010</v>
      </c>
      <c r="I17" s="4" t="n">
        <f aca="false">IF(H17="","",ROUND((H17-G17)/H17*100,0))</f>
        <v>26</v>
      </c>
      <c r="J17" s="3" t="s">
        <v>19</v>
      </c>
      <c r="K17" s="3" t="s">
        <v>19</v>
      </c>
      <c r="L17" s="3" t="s">
        <v>19</v>
      </c>
      <c r="M17" s="5"/>
      <c r="N17" s="6" t="s">
        <v>88</v>
      </c>
    </row>
    <row r="18" customFormat="false" ht="26.85" hidden="false" customHeight="false" outlineLevel="0" collapsed="false">
      <c r="A18" s="2" t="s">
        <v>89</v>
      </c>
      <c r="B18" s="3" t="s">
        <v>90</v>
      </c>
      <c r="C18" s="3"/>
      <c r="D18" s="3" t="s">
        <v>91</v>
      </c>
      <c r="E18" s="3" t="s">
        <v>36</v>
      </c>
      <c r="F18" s="3" t="s">
        <v>92</v>
      </c>
      <c r="G18" s="3" t="n">
        <v>10500</v>
      </c>
      <c r="H18" s="3"/>
      <c r="I18" s="4" t="str">
        <f aca="false">IF(H18="","",ROUND((H18-G18)/H18*100,0))</f>
        <v/>
      </c>
      <c r="J18" s="3" t="s">
        <v>19</v>
      </c>
      <c r="K18" s="3" t="s">
        <v>20</v>
      </c>
      <c r="L18" s="3"/>
      <c r="M18" s="5"/>
      <c r="N18" s="6" t="s">
        <v>93</v>
      </c>
    </row>
    <row r="19" customFormat="false" ht="26.85" hidden="false" customHeight="false" outlineLevel="0" collapsed="false">
      <c r="A19" s="2" t="s">
        <v>94</v>
      </c>
      <c r="B19" s="3" t="s">
        <v>95</v>
      </c>
      <c r="C19" s="3"/>
      <c r="D19" s="3" t="s">
        <v>96</v>
      </c>
      <c r="E19" s="3" t="s">
        <v>36</v>
      </c>
      <c r="F19" s="3" t="s">
        <v>92</v>
      </c>
      <c r="G19" s="3" t="n">
        <v>19600</v>
      </c>
      <c r="H19" s="3"/>
      <c r="I19" s="4" t="str">
        <f aca="false">IF(H19="","",ROUND((H19-G19)/H19*100,0))</f>
        <v/>
      </c>
      <c r="J19" s="3" t="s">
        <v>19</v>
      </c>
      <c r="K19" s="3" t="s">
        <v>20</v>
      </c>
      <c r="L19" s="3"/>
      <c r="M19" s="5"/>
      <c r="N19" s="6" t="s">
        <v>97</v>
      </c>
    </row>
    <row r="20" customFormat="false" ht="26.85" hidden="false" customHeight="false" outlineLevel="0" collapsed="false">
      <c r="A20" s="2" t="s">
        <v>98</v>
      </c>
      <c r="B20" s="3" t="s">
        <v>99</v>
      </c>
      <c r="C20" s="3"/>
      <c r="D20" s="3" t="s">
        <v>100</v>
      </c>
      <c r="E20" s="3" t="s">
        <v>101</v>
      </c>
      <c r="F20" s="3" t="s">
        <v>102</v>
      </c>
      <c r="G20" s="3" t="n">
        <v>14400</v>
      </c>
      <c r="H20" s="3"/>
      <c r="I20" s="4" t="str">
        <f aca="false">IF(H20="","",ROUND((H20-G20)/H20*100,0))</f>
        <v/>
      </c>
      <c r="J20" s="3" t="s">
        <v>19</v>
      </c>
      <c r="K20" s="3" t="s">
        <v>20</v>
      </c>
      <c r="L20" s="3"/>
      <c r="M20" s="5"/>
      <c r="N20" s="6" t="s">
        <v>103</v>
      </c>
    </row>
    <row r="21" customFormat="false" ht="26.85" hidden="false" customHeight="false" outlineLevel="0" collapsed="false">
      <c r="A21" s="2" t="s">
        <v>104</v>
      </c>
      <c r="B21" s="3" t="s">
        <v>105</v>
      </c>
      <c r="C21" s="3"/>
      <c r="D21" s="3" t="s">
        <v>106</v>
      </c>
      <c r="E21" s="3" t="s">
        <v>17</v>
      </c>
      <c r="F21" s="3"/>
      <c r="G21" s="3" t="n">
        <v>6000</v>
      </c>
      <c r="H21" s="3"/>
      <c r="I21" s="4" t="str">
        <f aca="false">IF(H21="","",ROUND((H21-G21)/H21*100,0))</f>
        <v/>
      </c>
      <c r="J21" s="3" t="s">
        <v>19</v>
      </c>
      <c r="K21" s="3" t="s">
        <v>20</v>
      </c>
      <c r="L21" s="3"/>
      <c r="M21" s="5"/>
      <c r="N21" s="6" t="s">
        <v>107</v>
      </c>
    </row>
    <row r="22" customFormat="false" ht="26.85" hidden="false" customHeight="false" outlineLevel="0" collapsed="false">
      <c r="A22" s="2" t="s">
        <v>108</v>
      </c>
      <c r="B22" s="3" t="s">
        <v>109</v>
      </c>
      <c r="C22" s="3" t="s">
        <v>110</v>
      </c>
      <c r="D22" s="3" t="s">
        <v>111</v>
      </c>
      <c r="E22" s="3" t="s">
        <v>36</v>
      </c>
      <c r="F22" s="3" t="s">
        <v>46</v>
      </c>
      <c r="G22" s="3" t="n">
        <v>20700</v>
      </c>
      <c r="H22" s="3"/>
      <c r="I22" s="4" t="str">
        <f aca="false">IF(H22="","",ROUND((H22-G22)/H22*100,0))</f>
        <v/>
      </c>
      <c r="J22" s="3" t="s">
        <v>19</v>
      </c>
      <c r="K22" s="3" t="s">
        <v>20</v>
      </c>
      <c r="L22" s="3"/>
      <c r="M22" s="5"/>
      <c r="N22" s="6" t="s">
        <v>112</v>
      </c>
    </row>
    <row r="23" customFormat="false" ht="26.85" hidden="false" customHeight="false" outlineLevel="0" collapsed="false">
      <c r="A23" s="2" t="s">
        <v>113</v>
      </c>
      <c r="B23" s="3" t="s">
        <v>114</v>
      </c>
      <c r="C23" s="3" t="s">
        <v>110</v>
      </c>
      <c r="D23" s="3" t="s">
        <v>115</v>
      </c>
      <c r="E23" s="3" t="s">
        <v>17</v>
      </c>
      <c r="F23" s="3" t="s">
        <v>46</v>
      </c>
      <c r="G23" s="3" t="n">
        <v>19200</v>
      </c>
      <c r="H23" s="3"/>
      <c r="I23" s="4" t="str">
        <f aca="false">IF(H23="","",ROUND((H23-G23)/H23*100,0))</f>
        <v/>
      </c>
      <c r="J23" s="3" t="s">
        <v>19</v>
      </c>
      <c r="K23" s="3" t="s">
        <v>20</v>
      </c>
      <c r="L23" s="3"/>
      <c r="M23" s="5"/>
      <c r="N23" s="6" t="s">
        <v>116</v>
      </c>
    </row>
    <row r="24" customFormat="false" ht="26.85" hidden="false" customHeight="false" outlineLevel="0" collapsed="false">
      <c r="A24" s="2" t="s">
        <v>117</v>
      </c>
      <c r="B24" s="3" t="s">
        <v>118</v>
      </c>
      <c r="C24" s="3" t="s">
        <v>110</v>
      </c>
      <c r="D24" s="3" t="s">
        <v>119</v>
      </c>
      <c r="E24" s="3" t="s">
        <v>17</v>
      </c>
      <c r="F24" s="3" t="s">
        <v>46</v>
      </c>
      <c r="G24" s="3" t="n">
        <v>28900</v>
      </c>
      <c r="H24" s="3"/>
      <c r="I24" s="4" t="str">
        <f aca="false">IF(H24="","",ROUND((H24-G24)/H24*100,0))</f>
        <v/>
      </c>
      <c r="J24" s="3" t="s">
        <v>19</v>
      </c>
      <c r="K24" s="3" t="s">
        <v>20</v>
      </c>
      <c r="L24" s="3"/>
      <c r="M24" s="5"/>
      <c r="N24" s="6" t="s">
        <v>120</v>
      </c>
    </row>
    <row r="25" customFormat="false" ht="26.85" hidden="false" customHeight="false" outlineLevel="0" collapsed="false">
      <c r="A25" s="2" t="s">
        <v>121</v>
      </c>
      <c r="B25" s="3" t="s">
        <v>122</v>
      </c>
      <c r="C25" s="3" t="s">
        <v>110</v>
      </c>
      <c r="D25" s="3" t="s">
        <v>115</v>
      </c>
      <c r="E25" s="3" t="s">
        <v>17</v>
      </c>
      <c r="F25" s="3" t="s">
        <v>46</v>
      </c>
      <c r="G25" s="3" t="n">
        <v>18800</v>
      </c>
      <c r="H25" s="3"/>
      <c r="I25" s="4" t="str">
        <f aca="false">IF(H25="","",ROUND((H25-G25)/H25*100,0))</f>
        <v/>
      </c>
      <c r="J25" s="3" t="s">
        <v>19</v>
      </c>
      <c r="K25" s="3" t="s">
        <v>20</v>
      </c>
      <c r="L25" s="3"/>
      <c r="M25" s="5"/>
      <c r="N25" s="6" t="s">
        <v>123</v>
      </c>
    </row>
    <row r="26" customFormat="false" ht="26.85" hidden="false" customHeight="false" outlineLevel="0" collapsed="false">
      <c r="A26" s="2" t="s">
        <v>124</v>
      </c>
      <c r="B26" s="3" t="s">
        <v>125</v>
      </c>
      <c r="C26" s="3"/>
      <c r="D26" s="3" t="s">
        <v>126</v>
      </c>
      <c r="E26" s="3" t="s">
        <v>17</v>
      </c>
      <c r="F26" s="3" t="s">
        <v>127</v>
      </c>
      <c r="G26" s="3" t="n">
        <v>27500</v>
      </c>
      <c r="H26" s="3"/>
      <c r="I26" s="4" t="str">
        <f aca="false">IF(H26="","",ROUND((H26-G26)/H26*100,0))</f>
        <v/>
      </c>
      <c r="J26" s="3" t="s">
        <v>19</v>
      </c>
      <c r="K26" s="3" t="s">
        <v>20</v>
      </c>
      <c r="L26" s="3"/>
      <c r="M26" s="5"/>
      <c r="N26" s="6" t="s">
        <v>128</v>
      </c>
    </row>
    <row r="27" customFormat="false" ht="26.85" hidden="false" customHeight="false" outlineLevel="0" collapsed="false">
      <c r="A27" s="2" t="s">
        <v>129</v>
      </c>
      <c r="B27" s="3" t="s">
        <v>130</v>
      </c>
      <c r="C27" s="3"/>
      <c r="D27" s="3" t="s">
        <v>131</v>
      </c>
      <c r="E27" s="3" t="s">
        <v>36</v>
      </c>
      <c r="F27" s="3" t="s">
        <v>132</v>
      </c>
      <c r="G27" s="3" t="n">
        <v>33900</v>
      </c>
      <c r="H27" s="3"/>
      <c r="I27" s="4" t="str">
        <f aca="false">IF(H27="","",ROUND((H27-G27)/H27*100,0))</f>
        <v/>
      </c>
      <c r="J27" s="3" t="s">
        <v>19</v>
      </c>
      <c r="K27" s="3" t="s">
        <v>20</v>
      </c>
      <c r="L27" s="3"/>
      <c r="M27" s="5"/>
      <c r="N27" s="6" t="s">
        <v>133</v>
      </c>
    </row>
    <row r="28" customFormat="false" ht="26.85" hidden="false" customHeight="false" outlineLevel="0" collapsed="false">
      <c r="A28" s="2" t="s">
        <v>134</v>
      </c>
      <c r="B28" s="3" t="s">
        <v>135</v>
      </c>
      <c r="C28" s="3"/>
      <c r="D28" s="3" t="s">
        <v>136</v>
      </c>
      <c r="E28" s="3" t="s">
        <v>17</v>
      </c>
      <c r="F28" s="3"/>
      <c r="G28" s="3" t="n">
        <v>2800</v>
      </c>
      <c r="H28" s="3"/>
      <c r="I28" s="4" t="str">
        <f aca="false">IF(H28="","",ROUND((H28-G28)/H28*100,0))</f>
        <v/>
      </c>
      <c r="J28" s="3" t="s">
        <v>19</v>
      </c>
      <c r="K28" s="3" t="s">
        <v>20</v>
      </c>
      <c r="L28" s="3"/>
      <c r="M28" s="5"/>
      <c r="N28" s="6" t="s">
        <v>137</v>
      </c>
    </row>
    <row r="29" customFormat="false" ht="26.85" hidden="false" customHeight="false" outlineLevel="0" collapsed="false">
      <c r="A29" s="2" t="s">
        <v>138</v>
      </c>
      <c r="B29" s="3" t="s">
        <v>139</v>
      </c>
      <c r="C29" s="3"/>
      <c r="D29" s="3" t="s">
        <v>140</v>
      </c>
      <c r="E29" s="3" t="s">
        <v>17</v>
      </c>
      <c r="F29" s="3"/>
      <c r="G29" s="3" t="n">
        <v>7300</v>
      </c>
      <c r="H29" s="3"/>
      <c r="I29" s="4" t="str">
        <f aca="false">IF(H29="","",ROUND((H29-G29)/H29*100,0))</f>
        <v/>
      </c>
      <c r="J29" s="3" t="s">
        <v>19</v>
      </c>
      <c r="K29" s="3" t="s">
        <v>20</v>
      </c>
      <c r="L29" s="3"/>
      <c r="M29" s="5"/>
      <c r="N29" s="6" t="s">
        <v>141</v>
      </c>
    </row>
    <row r="30" customFormat="false" ht="26.85" hidden="false" customHeight="false" outlineLevel="0" collapsed="false">
      <c r="A30" s="2" t="s">
        <v>142</v>
      </c>
      <c r="B30" s="3" t="s">
        <v>143</v>
      </c>
      <c r="C30" s="3"/>
      <c r="D30" s="3" t="s">
        <v>144</v>
      </c>
      <c r="E30" s="3" t="s">
        <v>25</v>
      </c>
      <c r="F30" s="3"/>
      <c r="G30" s="3" t="n">
        <v>56400</v>
      </c>
      <c r="H30" s="3"/>
      <c r="I30" s="4" t="str">
        <f aca="false">IF(H30="","",ROUND((H30-G30)/H30*100,0))</f>
        <v/>
      </c>
      <c r="J30" s="3" t="s">
        <v>19</v>
      </c>
      <c r="K30" s="3" t="s">
        <v>20</v>
      </c>
      <c r="L30" s="3"/>
      <c r="M30" s="5"/>
      <c r="N30" s="6" t="s">
        <v>145</v>
      </c>
    </row>
    <row r="31" customFormat="false" ht="26.85" hidden="false" customHeight="false" outlineLevel="0" collapsed="false">
      <c r="A31" s="2" t="s">
        <v>146</v>
      </c>
      <c r="B31" s="3" t="s">
        <v>147</v>
      </c>
      <c r="C31" s="3"/>
      <c r="D31" s="3" t="s">
        <v>148</v>
      </c>
      <c r="E31" s="3" t="s">
        <v>17</v>
      </c>
      <c r="F31" s="3"/>
      <c r="G31" s="3" t="n">
        <v>65500</v>
      </c>
      <c r="H31" s="3"/>
      <c r="I31" s="4" t="str">
        <f aca="false">IF(H31="","",ROUND((H31-G31)/H31*100,0))</f>
        <v/>
      </c>
      <c r="J31" s="3" t="s">
        <v>19</v>
      </c>
      <c r="K31" s="3" t="s">
        <v>20</v>
      </c>
      <c r="L31" s="3"/>
      <c r="M31" s="5"/>
      <c r="N31" s="6" t="s">
        <v>149</v>
      </c>
    </row>
    <row r="32" customFormat="false" ht="26.85" hidden="false" customHeight="false" outlineLevel="0" collapsed="false">
      <c r="A32" s="2" t="s">
        <v>150</v>
      </c>
      <c r="B32" s="3" t="s">
        <v>151</v>
      </c>
      <c r="C32" s="3"/>
      <c r="D32" s="3" t="s">
        <v>152</v>
      </c>
      <c r="E32" s="3" t="s">
        <v>36</v>
      </c>
      <c r="F32" s="3" t="s">
        <v>37</v>
      </c>
      <c r="G32" s="3" t="n">
        <v>79500</v>
      </c>
      <c r="H32" s="3"/>
      <c r="I32" s="4" t="str">
        <f aca="false">IF(H32="","",ROUND((H32-G32)/H32*100,0))</f>
        <v/>
      </c>
      <c r="J32" s="3" t="s">
        <v>19</v>
      </c>
      <c r="K32" s="3" t="s">
        <v>20</v>
      </c>
      <c r="L32" s="3"/>
      <c r="M32" s="5"/>
      <c r="N32" s="6" t="s">
        <v>153</v>
      </c>
    </row>
    <row r="33" customFormat="false" ht="26.85" hidden="false" customHeight="false" outlineLevel="0" collapsed="false">
      <c r="A33" s="2" t="s">
        <v>154</v>
      </c>
      <c r="B33" s="3" t="s">
        <v>155</v>
      </c>
      <c r="C33" s="3"/>
      <c r="D33" s="3" t="s">
        <v>156</v>
      </c>
      <c r="E33" s="3" t="s">
        <v>17</v>
      </c>
      <c r="F33" s="3"/>
      <c r="G33" s="3" t="n">
        <v>5800</v>
      </c>
      <c r="H33" s="3"/>
      <c r="I33" s="4" t="str">
        <f aca="false">IF(H33="","",ROUND((H33-G33)/H33*100,0))</f>
        <v/>
      </c>
      <c r="J33" s="3" t="s">
        <v>19</v>
      </c>
      <c r="K33" s="3" t="s">
        <v>20</v>
      </c>
      <c r="L33" s="3"/>
      <c r="M33" s="5"/>
      <c r="N33" s="6" t="s">
        <v>157</v>
      </c>
    </row>
    <row r="34" customFormat="false" ht="26.85" hidden="false" customHeight="false" outlineLevel="0" collapsed="false">
      <c r="A34" s="2" t="s">
        <v>158</v>
      </c>
      <c r="B34" s="3" t="s">
        <v>159</v>
      </c>
      <c r="C34" s="3"/>
      <c r="D34" s="3" t="s">
        <v>160</v>
      </c>
      <c r="E34" s="3" t="s">
        <v>17</v>
      </c>
      <c r="F34" s="3" t="s">
        <v>161</v>
      </c>
      <c r="G34" s="3" t="n">
        <v>11900</v>
      </c>
      <c r="H34" s="3"/>
      <c r="I34" s="4" t="str">
        <f aca="false">IF(H34="","",ROUND((H34-G34)/H34*100,0))</f>
        <v/>
      </c>
      <c r="J34" s="3" t="s">
        <v>19</v>
      </c>
      <c r="K34" s="3" t="s">
        <v>20</v>
      </c>
      <c r="L34" s="3"/>
      <c r="M34" s="5"/>
      <c r="N34" s="6" t="s">
        <v>162</v>
      </c>
    </row>
    <row r="35" customFormat="false" ht="26.85" hidden="false" customHeight="false" outlineLevel="0" collapsed="false">
      <c r="A35" s="2" t="s">
        <v>163</v>
      </c>
      <c r="B35" s="3" t="s">
        <v>164</v>
      </c>
      <c r="C35" s="3"/>
      <c r="D35" s="3" t="s">
        <v>165</v>
      </c>
      <c r="E35" s="3" t="s">
        <v>17</v>
      </c>
      <c r="F35" s="3" t="s">
        <v>161</v>
      </c>
      <c r="G35" s="3" t="n">
        <v>21200</v>
      </c>
      <c r="H35" s="3"/>
      <c r="I35" s="4" t="str">
        <f aca="false">IF(H35="","",ROUND((H35-G35)/H35*100,0))</f>
        <v/>
      </c>
      <c r="J35" s="3" t="s">
        <v>19</v>
      </c>
      <c r="K35" s="3" t="s">
        <v>20</v>
      </c>
      <c r="L35" s="3"/>
      <c r="M35" s="5"/>
      <c r="N35" s="6" t="s">
        <v>166</v>
      </c>
    </row>
    <row r="36" customFormat="false" ht="26.85" hidden="false" customHeight="false" outlineLevel="0" collapsed="false">
      <c r="A36" s="2" t="s">
        <v>167</v>
      </c>
      <c r="B36" s="3" t="s">
        <v>168</v>
      </c>
      <c r="C36" s="3"/>
      <c r="D36" s="3" t="s">
        <v>169</v>
      </c>
      <c r="E36" s="3" t="s">
        <v>17</v>
      </c>
      <c r="F36" s="3" t="s">
        <v>170</v>
      </c>
      <c r="G36" s="3" t="n">
        <v>11900</v>
      </c>
      <c r="H36" s="3"/>
      <c r="I36" s="4" t="str">
        <f aca="false">IF(H36="","",ROUND((H36-G36)/H36*100,0))</f>
        <v/>
      </c>
      <c r="J36" s="3" t="s">
        <v>19</v>
      </c>
      <c r="K36" s="3" t="s">
        <v>20</v>
      </c>
      <c r="L36" s="3"/>
      <c r="M36" s="5"/>
      <c r="N36" s="6" t="s">
        <v>171</v>
      </c>
    </row>
    <row r="37" customFormat="false" ht="26.85" hidden="false" customHeight="false" outlineLevel="0" collapsed="false">
      <c r="A37" s="2" t="s">
        <v>172</v>
      </c>
      <c r="B37" s="3" t="s">
        <v>173</v>
      </c>
      <c r="C37" s="3"/>
      <c r="D37" s="3" t="s">
        <v>174</v>
      </c>
      <c r="E37" s="3" t="s">
        <v>17</v>
      </c>
      <c r="F37" s="3" t="s">
        <v>170</v>
      </c>
      <c r="G37" s="3" t="n">
        <v>7500</v>
      </c>
      <c r="H37" s="3"/>
      <c r="I37" s="4" t="str">
        <f aca="false">IF(H37="","",ROUND((H37-G37)/H37*100,0))</f>
        <v/>
      </c>
      <c r="J37" s="3" t="s">
        <v>19</v>
      </c>
      <c r="K37" s="3" t="s">
        <v>20</v>
      </c>
      <c r="L37" s="3"/>
      <c r="M37" s="5"/>
      <c r="N37" s="6" t="s">
        <v>175</v>
      </c>
    </row>
    <row r="38" customFormat="false" ht="26.85" hidden="false" customHeight="false" outlineLevel="0" collapsed="false">
      <c r="A38" s="2" t="s">
        <v>176</v>
      </c>
      <c r="B38" s="3" t="s">
        <v>177</v>
      </c>
      <c r="C38" s="3"/>
      <c r="D38" s="3" t="s">
        <v>178</v>
      </c>
      <c r="E38" s="3" t="s">
        <v>17</v>
      </c>
      <c r="F38" s="3"/>
      <c r="G38" s="3" t="n">
        <v>168900</v>
      </c>
      <c r="H38" s="3"/>
      <c r="I38" s="4" t="str">
        <f aca="false">IF(H38="","",ROUND((H38-G38)/H38*100,0))</f>
        <v/>
      </c>
      <c r="J38" s="3" t="s">
        <v>19</v>
      </c>
      <c r="K38" s="3" t="s">
        <v>20</v>
      </c>
      <c r="L38" s="3"/>
      <c r="M38" s="5"/>
      <c r="N38" s="6" t="s">
        <v>179</v>
      </c>
    </row>
    <row r="39" customFormat="false" ht="26.85" hidden="false" customHeight="false" outlineLevel="0" collapsed="false">
      <c r="A39" s="2" t="s">
        <v>180</v>
      </c>
      <c r="B39" s="3" t="s">
        <v>181</v>
      </c>
      <c r="C39" s="3"/>
      <c r="D39" s="3" t="s">
        <v>182</v>
      </c>
      <c r="E39" s="3" t="s">
        <v>17</v>
      </c>
      <c r="F39" s="3"/>
      <c r="G39" s="3" t="n">
        <v>89800</v>
      </c>
      <c r="H39" s="3"/>
      <c r="I39" s="4" t="str">
        <f aca="false">IF(H39="","",ROUND((H39-G39)/H39*100,0))</f>
        <v/>
      </c>
      <c r="J39" s="3" t="s">
        <v>19</v>
      </c>
      <c r="K39" s="3" t="s">
        <v>20</v>
      </c>
      <c r="L39" s="3"/>
      <c r="M39" s="5"/>
      <c r="N39" s="6" t="s">
        <v>183</v>
      </c>
    </row>
    <row r="40" customFormat="false" ht="26.85" hidden="false" customHeight="false" outlineLevel="0" collapsed="false">
      <c r="A40" s="2" t="s">
        <v>184</v>
      </c>
      <c r="B40" s="3" t="s">
        <v>185</v>
      </c>
      <c r="C40" s="3" t="s">
        <v>186</v>
      </c>
      <c r="D40" s="3" t="s">
        <v>187</v>
      </c>
      <c r="E40" s="3" t="s">
        <v>17</v>
      </c>
      <c r="F40" s="3" t="s">
        <v>46</v>
      </c>
      <c r="G40" s="3" t="n">
        <v>70400</v>
      </c>
      <c r="H40" s="3"/>
      <c r="I40" s="4" t="str">
        <f aca="false">IF(H40="","",ROUND((H40-G40)/H40*100,0))</f>
        <v/>
      </c>
      <c r="J40" s="3" t="s">
        <v>19</v>
      </c>
      <c r="K40" s="3" t="s">
        <v>20</v>
      </c>
      <c r="L40" s="3"/>
      <c r="M40" s="5"/>
      <c r="N40" s="6" t="s">
        <v>188</v>
      </c>
    </row>
    <row r="41" customFormat="false" ht="39.55" hidden="false" customHeight="false" outlineLevel="0" collapsed="false">
      <c r="A41" s="2" t="s">
        <v>189</v>
      </c>
      <c r="B41" s="3" t="s">
        <v>190</v>
      </c>
      <c r="C41" s="3" t="s">
        <v>186</v>
      </c>
      <c r="D41" s="3" t="s">
        <v>191</v>
      </c>
      <c r="E41" s="3" t="s">
        <v>17</v>
      </c>
      <c r="F41" s="3" t="s">
        <v>46</v>
      </c>
      <c r="G41" s="3" t="n">
        <v>51000</v>
      </c>
      <c r="H41" s="3"/>
      <c r="I41" s="4" t="str">
        <f aca="false">IF(H41="","",ROUND((H41-G41)/H41*100,0))</f>
        <v/>
      </c>
      <c r="J41" s="3" t="s">
        <v>19</v>
      </c>
      <c r="K41" s="3" t="s">
        <v>20</v>
      </c>
      <c r="L41" s="3"/>
      <c r="M41" s="5"/>
      <c r="N41" s="6" t="s">
        <v>192</v>
      </c>
    </row>
    <row r="42" customFormat="false" ht="26.85" hidden="false" customHeight="false" outlineLevel="0" collapsed="false">
      <c r="A42" s="2" t="s">
        <v>193</v>
      </c>
      <c r="B42" s="3" t="s">
        <v>194</v>
      </c>
      <c r="C42" s="3" t="s">
        <v>186</v>
      </c>
      <c r="D42" s="3" t="s">
        <v>195</v>
      </c>
      <c r="E42" s="3" t="s">
        <v>17</v>
      </c>
      <c r="F42" s="3" t="s">
        <v>46</v>
      </c>
      <c r="G42" s="3" t="n">
        <v>62900</v>
      </c>
      <c r="H42" s="3"/>
      <c r="I42" s="4" t="str">
        <f aca="false">IF(H42="","",ROUND((H42-G42)/H42*100,0))</f>
        <v/>
      </c>
      <c r="J42" s="3" t="s">
        <v>19</v>
      </c>
      <c r="K42" s="3" t="s">
        <v>20</v>
      </c>
      <c r="L42" s="3"/>
      <c r="M42" s="5"/>
      <c r="N42" s="6" t="s">
        <v>196</v>
      </c>
    </row>
    <row r="43" customFormat="false" ht="26.85" hidden="false" customHeight="false" outlineLevel="0" collapsed="false">
      <c r="A43" s="2" t="s">
        <v>197</v>
      </c>
      <c r="B43" s="3" t="s">
        <v>198</v>
      </c>
      <c r="C43" s="3"/>
      <c r="D43" s="3" t="s">
        <v>199</v>
      </c>
      <c r="E43" s="3" t="s">
        <v>17</v>
      </c>
      <c r="F43" s="3" t="s">
        <v>161</v>
      </c>
      <c r="G43" s="3" t="n">
        <v>28500</v>
      </c>
      <c r="H43" s="3"/>
      <c r="I43" s="4" t="str">
        <f aca="false">IF(H43="","",ROUND((H43-G43)/H43*100,0))</f>
        <v/>
      </c>
      <c r="J43" s="3" t="s">
        <v>19</v>
      </c>
      <c r="K43" s="3" t="s">
        <v>20</v>
      </c>
      <c r="L43" s="3"/>
      <c r="M43" s="5"/>
      <c r="N43" s="6" t="s">
        <v>200</v>
      </c>
    </row>
    <row r="44" customFormat="false" ht="26.85" hidden="false" customHeight="false" outlineLevel="0" collapsed="false">
      <c r="A44" s="2" t="s">
        <v>201</v>
      </c>
      <c r="B44" s="3" t="s">
        <v>202</v>
      </c>
      <c r="C44" s="3"/>
      <c r="D44" s="3" t="s">
        <v>203</v>
      </c>
      <c r="E44" s="3" t="s">
        <v>17</v>
      </c>
      <c r="F44" s="3" t="s">
        <v>161</v>
      </c>
      <c r="G44" s="3" t="n">
        <v>35800</v>
      </c>
      <c r="H44" s="3"/>
      <c r="I44" s="4" t="str">
        <f aca="false">IF(H44="","",ROUND((H44-G44)/H44*100,0))</f>
        <v/>
      </c>
      <c r="J44" s="3" t="s">
        <v>19</v>
      </c>
      <c r="K44" s="3" t="s">
        <v>20</v>
      </c>
      <c r="L44" s="3"/>
      <c r="M44" s="5"/>
      <c r="N44" s="6" t="s">
        <v>204</v>
      </c>
    </row>
    <row r="45" customFormat="false" ht="26.85" hidden="false" customHeight="false" outlineLevel="0" collapsed="false">
      <c r="A45" s="2" t="s">
        <v>205</v>
      </c>
      <c r="B45" s="3" t="s">
        <v>206</v>
      </c>
      <c r="C45" s="3"/>
      <c r="D45" s="3" t="s">
        <v>207</v>
      </c>
      <c r="E45" s="3" t="s">
        <v>17</v>
      </c>
      <c r="F45" s="3" t="s">
        <v>161</v>
      </c>
      <c r="G45" s="3" t="n">
        <v>33000</v>
      </c>
      <c r="H45" s="3"/>
      <c r="I45" s="4" t="str">
        <f aca="false">IF(H45="","",ROUND((H45-G45)/H45*100,0))</f>
        <v/>
      </c>
      <c r="J45" s="3" t="s">
        <v>19</v>
      </c>
      <c r="K45" s="3" t="s">
        <v>20</v>
      </c>
      <c r="L45" s="3"/>
      <c r="M45" s="5"/>
      <c r="N45" s="6" t="s">
        <v>208</v>
      </c>
    </row>
    <row r="46" customFormat="false" ht="26.85" hidden="false" customHeight="false" outlineLevel="0" collapsed="false">
      <c r="A46" s="2" t="s">
        <v>209</v>
      </c>
      <c r="B46" s="3" t="s">
        <v>210</v>
      </c>
      <c r="C46" s="3"/>
      <c r="D46" s="3" t="s">
        <v>211</v>
      </c>
      <c r="E46" s="3" t="s">
        <v>17</v>
      </c>
      <c r="F46" s="3" t="s">
        <v>170</v>
      </c>
      <c r="G46" s="3" t="n">
        <v>18900</v>
      </c>
      <c r="H46" s="3"/>
      <c r="I46" s="4" t="str">
        <f aca="false">IF(H46="","",ROUND((H46-G46)/H46*100,0))</f>
        <v/>
      </c>
      <c r="J46" s="3" t="s">
        <v>19</v>
      </c>
      <c r="K46" s="3" t="s">
        <v>20</v>
      </c>
      <c r="L46" s="3"/>
      <c r="M46" s="5"/>
      <c r="N46" s="6" t="s">
        <v>212</v>
      </c>
    </row>
    <row r="47" customFormat="false" ht="26.85" hidden="false" customHeight="false" outlineLevel="0" collapsed="false">
      <c r="A47" s="2" t="s">
        <v>213</v>
      </c>
      <c r="B47" s="3" t="s">
        <v>214</v>
      </c>
      <c r="C47" s="3"/>
      <c r="D47" s="3" t="s">
        <v>215</v>
      </c>
      <c r="E47" s="3" t="s">
        <v>36</v>
      </c>
      <c r="F47" s="3"/>
      <c r="G47" s="3" t="n">
        <v>36100</v>
      </c>
      <c r="H47" s="3"/>
      <c r="I47" s="4" t="str">
        <f aca="false">IF(H47="","",ROUND((H47-G47)/H47*100,0))</f>
        <v/>
      </c>
      <c r="J47" s="3" t="s">
        <v>19</v>
      </c>
      <c r="K47" s="3" t="s">
        <v>20</v>
      </c>
      <c r="L47" s="3"/>
      <c r="M47" s="5"/>
      <c r="N47" s="6" t="s">
        <v>216</v>
      </c>
    </row>
    <row r="48" customFormat="false" ht="26.85" hidden="false" customHeight="false" outlineLevel="0" collapsed="false">
      <c r="A48" s="2" t="s">
        <v>217</v>
      </c>
      <c r="B48" s="3" t="s">
        <v>218</v>
      </c>
      <c r="C48" s="3"/>
      <c r="D48" s="3" t="s">
        <v>219</v>
      </c>
      <c r="E48" s="3" t="s">
        <v>17</v>
      </c>
      <c r="F48" s="3" t="s">
        <v>102</v>
      </c>
      <c r="G48" s="3" t="n">
        <v>37700</v>
      </c>
      <c r="H48" s="3"/>
      <c r="I48" s="4" t="str">
        <f aca="false">IF(H48="","",ROUND((H48-G48)/H48*100,0))</f>
        <v/>
      </c>
      <c r="J48" s="3" t="s">
        <v>19</v>
      </c>
      <c r="K48" s="3" t="s">
        <v>20</v>
      </c>
      <c r="L48" s="3"/>
      <c r="M48" s="5"/>
      <c r="N48" s="6" t="s">
        <v>220</v>
      </c>
    </row>
    <row r="49" customFormat="false" ht="26.85" hidden="false" customHeight="false" outlineLevel="0" collapsed="false">
      <c r="A49" s="2" t="s">
        <v>221</v>
      </c>
      <c r="B49" s="3" t="s">
        <v>222</v>
      </c>
      <c r="C49" s="3"/>
      <c r="D49" s="3" t="s">
        <v>223</v>
      </c>
      <c r="E49" s="3" t="s">
        <v>25</v>
      </c>
      <c r="F49" s="3"/>
      <c r="G49" s="3" t="n">
        <v>87000</v>
      </c>
      <c r="H49" s="3"/>
      <c r="I49" s="4" t="str">
        <f aca="false">IF(H49="","",ROUND((H49-G49)/H49*100,0))</f>
        <v/>
      </c>
      <c r="J49" s="3" t="s">
        <v>19</v>
      </c>
      <c r="K49" s="3" t="s">
        <v>20</v>
      </c>
      <c r="L49" s="3"/>
      <c r="M49" s="5"/>
      <c r="N49" s="6" t="s">
        <v>224</v>
      </c>
    </row>
    <row r="50" customFormat="false" ht="26.85" hidden="false" customHeight="false" outlineLevel="0" collapsed="false">
      <c r="A50" s="2" t="s">
        <v>225</v>
      </c>
      <c r="B50" s="3" t="s">
        <v>226</v>
      </c>
      <c r="C50" s="3"/>
      <c r="D50" s="3" t="s">
        <v>227</v>
      </c>
      <c r="E50" s="3" t="s">
        <v>17</v>
      </c>
      <c r="F50" s="3"/>
      <c r="G50" s="3" t="n">
        <v>16500</v>
      </c>
      <c r="H50" s="3"/>
      <c r="I50" s="4" t="str">
        <f aca="false">IF(H50="","",ROUND((H50-G50)/H50*100,0))</f>
        <v/>
      </c>
      <c r="J50" s="3" t="s">
        <v>19</v>
      </c>
      <c r="K50" s="3" t="s">
        <v>20</v>
      </c>
      <c r="L50" s="3"/>
      <c r="M50" s="5"/>
      <c r="N50" s="6" t="s">
        <v>228</v>
      </c>
    </row>
    <row r="51" customFormat="false" ht="26.85" hidden="false" customHeight="false" outlineLevel="0" collapsed="false">
      <c r="A51" s="2" t="s">
        <v>229</v>
      </c>
      <c r="B51" s="3" t="s">
        <v>230</v>
      </c>
      <c r="C51" s="3"/>
      <c r="D51" s="3" t="s">
        <v>231</v>
      </c>
      <c r="E51" s="3" t="s">
        <v>17</v>
      </c>
      <c r="F51" s="3"/>
      <c r="G51" s="3" t="n">
        <v>39200</v>
      </c>
      <c r="H51" s="3"/>
      <c r="I51" s="4" t="str">
        <f aca="false">IF(H51="","",ROUND((H51-G51)/H51*100,0))</f>
        <v/>
      </c>
      <c r="J51" s="3" t="s">
        <v>19</v>
      </c>
      <c r="K51" s="3" t="s">
        <v>20</v>
      </c>
      <c r="L51" s="3"/>
      <c r="M51" s="5"/>
      <c r="N51" s="6" t="s">
        <v>232</v>
      </c>
    </row>
    <row r="52" customFormat="false" ht="26.85" hidden="false" customHeight="false" outlineLevel="0" collapsed="false">
      <c r="A52" s="2" t="s">
        <v>233</v>
      </c>
      <c r="B52" s="3" t="s">
        <v>234</v>
      </c>
      <c r="C52" s="3"/>
      <c r="D52" s="3" t="s">
        <v>235</v>
      </c>
      <c r="E52" s="3" t="s">
        <v>17</v>
      </c>
      <c r="F52" s="3" t="s">
        <v>102</v>
      </c>
      <c r="G52" s="3" t="n">
        <v>19700</v>
      </c>
      <c r="H52" s="3"/>
      <c r="I52" s="4" t="str">
        <f aca="false">IF(H52="","",ROUND((H52-G52)/H52*100,0))</f>
        <v/>
      </c>
      <c r="J52" s="3" t="s">
        <v>19</v>
      </c>
      <c r="K52" s="3" t="s">
        <v>20</v>
      </c>
      <c r="L52" s="3"/>
      <c r="M52" s="5"/>
      <c r="N52" s="6" t="s">
        <v>236</v>
      </c>
    </row>
    <row r="53" customFormat="false" ht="26.85" hidden="false" customHeight="false" outlineLevel="0" collapsed="false">
      <c r="A53" s="2" t="s">
        <v>237</v>
      </c>
      <c r="B53" s="3" t="s">
        <v>238</v>
      </c>
      <c r="C53" s="3"/>
      <c r="D53" s="3" t="s">
        <v>235</v>
      </c>
      <c r="E53" s="3" t="s">
        <v>17</v>
      </c>
      <c r="F53" s="3" t="s">
        <v>102</v>
      </c>
      <c r="G53" s="3" t="n">
        <v>10900</v>
      </c>
      <c r="H53" s="3"/>
      <c r="I53" s="4" t="str">
        <f aca="false">IF(H53="","",ROUND((H53-G53)/H53*100,0))</f>
        <v/>
      </c>
      <c r="J53" s="3" t="s">
        <v>19</v>
      </c>
      <c r="K53" s="3" t="s">
        <v>20</v>
      </c>
      <c r="L53" s="3"/>
      <c r="M53" s="5"/>
      <c r="N53" s="6" t="s">
        <v>239</v>
      </c>
    </row>
    <row r="54" customFormat="false" ht="39.55" hidden="false" customHeight="false" outlineLevel="0" collapsed="false">
      <c r="A54" s="2" t="s">
        <v>240</v>
      </c>
      <c r="B54" s="3" t="s">
        <v>241</v>
      </c>
      <c r="C54" s="3"/>
      <c r="D54" s="3" t="s">
        <v>242</v>
      </c>
      <c r="E54" s="3" t="s">
        <v>17</v>
      </c>
      <c r="F54" s="3"/>
      <c r="G54" s="3" t="n">
        <v>13900</v>
      </c>
      <c r="H54" s="3"/>
      <c r="I54" s="4" t="str">
        <f aca="false">IF(H54="","",ROUND((H54-G54)/H54*100,0))</f>
        <v/>
      </c>
      <c r="J54" s="3" t="s">
        <v>19</v>
      </c>
      <c r="K54" s="3" t="s">
        <v>20</v>
      </c>
      <c r="L54" s="3"/>
      <c r="M54" s="5"/>
      <c r="N54" s="6" t="s">
        <v>243</v>
      </c>
    </row>
    <row r="55" customFormat="false" ht="26.85" hidden="false" customHeight="false" outlineLevel="0" collapsed="false">
      <c r="A55" s="2" t="s">
        <v>244</v>
      </c>
      <c r="B55" s="3" t="s">
        <v>245</v>
      </c>
      <c r="C55" s="3"/>
      <c r="D55" s="3" t="s">
        <v>246</v>
      </c>
      <c r="E55" s="3" t="s">
        <v>17</v>
      </c>
      <c r="F55" s="3"/>
      <c r="G55" s="3" t="n">
        <v>17500</v>
      </c>
      <c r="H55" s="3"/>
      <c r="I55" s="4" t="str">
        <f aca="false">IF(H55="","",ROUND((H55-G55)/H55*100,0))</f>
        <v/>
      </c>
      <c r="J55" s="3" t="s">
        <v>19</v>
      </c>
      <c r="K55" s="3" t="s">
        <v>20</v>
      </c>
      <c r="L55" s="3"/>
      <c r="M55" s="5"/>
      <c r="N55" s="6" t="s">
        <v>247</v>
      </c>
    </row>
    <row r="56" customFormat="false" ht="26.85" hidden="false" customHeight="false" outlineLevel="0" collapsed="false">
      <c r="A56" s="2" t="s">
        <v>248</v>
      </c>
      <c r="B56" s="3" t="s">
        <v>249</v>
      </c>
      <c r="C56" s="3"/>
      <c r="D56" s="3" t="s">
        <v>250</v>
      </c>
      <c r="E56" s="3" t="s">
        <v>25</v>
      </c>
      <c r="F56" s="3"/>
      <c r="G56" s="3" t="n">
        <v>44500</v>
      </c>
      <c r="H56" s="3"/>
      <c r="I56" s="4" t="str">
        <f aca="false">IF(H56="","",ROUND((H56-G56)/H56*100,0))</f>
        <v/>
      </c>
      <c r="J56" s="3" t="s">
        <v>19</v>
      </c>
      <c r="K56" s="3" t="s">
        <v>20</v>
      </c>
      <c r="L56" s="3"/>
      <c r="M56" s="5"/>
      <c r="N56" s="6" t="s">
        <v>251</v>
      </c>
    </row>
    <row r="57" customFormat="false" ht="26.85" hidden="false" customHeight="false" outlineLevel="0" collapsed="false">
      <c r="A57" s="2" t="s">
        <v>252</v>
      </c>
      <c r="B57" s="3" t="s">
        <v>253</v>
      </c>
      <c r="C57" s="3"/>
      <c r="D57" s="3" t="s">
        <v>254</v>
      </c>
      <c r="E57" s="3" t="s">
        <v>36</v>
      </c>
      <c r="F57" s="3" t="s">
        <v>102</v>
      </c>
      <c r="G57" s="3" t="n">
        <v>23500</v>
      </c>
      <c r="H57" s="3"/>
      <c r="I57" s="4" t="str">
        <f aca="false">IF(H57="","",ROUND((H57-G57)/H57*100,0))</f>
        <v/>
      </c>
      <c r="J57" s="3" t="s">
        <v>19</v>
      </c>
      <c r="K57" s="3" t="s">
        <v>20</v>
      </c>
      <c r="L57" s="3"/>
      <c r="M57" s="5"/>
      <c r="N57" s="6" t="s">
        <v>255</v>
      </c>
    </row>
    <row r="58" customFormat="false" ht="26.85" hidden="false" customHeight="false" outlineLevel="0" collapsed="false">
      <c r="A58" s="2" t="s">
        <v>256</v>
      </c>
      <c r="B58" s="3" t="s">
        <v>257</v>
      </c>
      <c r="C58" s="3"/>
      <c r="D58" s="3" t="s">
        <v>144</v>
      </c>
      <c r="E58" s="3" t="s">
        <v>25</v>
      </c>
      <c r="F58" s="3"/>
      <c r="G58" s="3" t="n">
        <v>79800</v>
      </c>
      <c r="H58" s="3"/>
      <c r="I58" s="4" t="str">
        <f aca="false">IF(H58="","",ROUND((H58-G58)/H58*100,0))</f>
        <v/>
      </c>
      <c r="J58" s="3" t="s">
        <v>19</v>
      </c>
      <c r="K58" s="3" t="s">
        <v>20</v>
      </c>
      <c r="L58" s="3"/>
      <c r="M58" s="5"/>
      <c r="N58" s="6" t="s">
        <v>258</v>
      </c>
    </row>
    <row r="59" customFormat="false" ht="26.85" hidden="false" customHeight="false" outlineLevel="0" collapsed="false">
      <c r="A59" s="2" t="s">
        <v>259</v>
      </c>
      <c r="B59" s="3" t="s">
        <v>260</v>
      </c>
      <c r="C59" s="3"/>
      <c r="D59" s="3" t="s">
        <v>261</v>
      </c>
      <c r="E59" s="3" t="s">
        <v>17</v>
      </c>
      <c r="F59" s="3"/>
      <c r="G59" s="3" t="n">
        <v>3500</v>
      </c>
      <c r="H59" s="3"/>
      <c r="I59" s="4" t="str">
        <f aca="false">IF(H59="","",ROUND((H59-G59)/H59*100,0))</f>
        <v/>
      </c>
      <c r="J59" s="3" t="s">
        <v>19</v>
      </c>
      <c r="K59" s="3" t="s">
        <v>20</v>
      </c>
      <c r="L59" s="3"/>
      <c r="M59" s="5"/>
      <c r="N59" s="6" t="s">
        <v>262</v>
      </c>
    </row>
    <row r="60" customFormat="false" ht="26.85" hidden="false" customHeight="false" outlineLevel="0" collapsed="false">
      <c r="A60" s="2" t="s">
        <v>263</v>
      </c>
      <c r="B60" s="3" t="s">
        <v>264</v>
      </c>
      <c r="C60" s="3"/>
      <c r="D60" s="3" t="s">
        <v>265</v>
      </c>
      <c r="E60" s="3" t="s">
        <v>17</v>
      </c>
      <c r="F60" s="3"/>
      <c r="G60" s="3" t="n">
        <v>92100</v>
      </c>
      <c r="H60" s="3"/>
      <c r="I60" s="4" t="str">
        <f aca="false">IF(H60="","",ROUND((H60-G60)/H60*100,0))</f>
        <v/>
      </c>
      <c r="J60" s="3" t="s">
        <v>19</v>
      </c>
      <c r="K60" s="3" t="s">
        <v>20</v>
      </c>
      <c r="L60" s="3"/>
      <c r="M60" s="5"/>
      <c r="N60" s="6" t="s">
        <v>266</v>
      </c>
    </row>
    <row r="61" customFormat="false" ht="26.85" hidden="false" customHeight="false" outlineLevel="0" collapsed="false">
      <c r="A61" s="2" t="s">
        <v>267</v>
      </c>
      <c r="B61" s="3" t="s">
        <v>268</v>
      </c>
      <c r="C61" s="3"/>
      <c r="D61" s="3" t="s">
        <v>165</v>
      </c>
      <c r="E61" s="3" t="s">
        <v>17</v>
      </c>
      <c r="F61" s="3"/>
      <c r="G61" s="3" t="n">
        <v>22900</v>
      </c>
      <c r="H61" s="3"/>
      <c r="I61" s="4" t="str">
        <f aca="false">IF(H61="","",ROUND((H61-G61)/H61*100,0))</f>
        <v/>
      </c>
      <c r="J61" s="3" t="s">
        <v>19</v>
      </c>
      <c r="K61" s="3" t="s">
        <v>20</v>
      </c>
      <c r="L61" s="3"/>
      <c r="M61" s="5"/>
      <c r="N61" s="6" t="s">
        <v>269</v>
      </c>
    </row>
    <row r="62" customFormat="false" ht="26.85" hidden="false" customHeight="false" outlineLevel="0" collapsed="false">
      <c r="A62" s="2" t="s">
        <v>270</v>
      </c>
      <c r="B62" s="3" t="s">
        <v>271</v>
      </c>
      <c r="C62" s="3"/>
      <c r="D62" s="3" t="s">
        <v>272</v>
      </c>
      <c r="E62" s="3" t="s">
        <v>17</v>
      </c>
      <c r="F62" s="3" t="s">
        <v>46</v>
      </c>
      <c r="G62" s="3" t="n">
        <v>42600</v>
      </c>
      <c r="H62" s="3"/>
      <c r="I62" s="4" t="str">
        <f aca="false">IF(H62="","",ROUND((H62-G62)/H62*100,0))</f>
        <v/>
      </c>
      <c r="J62" s="3" t="s">
        <v>19</v>
      </c>
      <c r="K62" s="3" t="s">
        <v>20</v>
      </c>
      <c r="L62" s="3"/>
      <c r="M62" s="5"/>
      <c r="N62" s="6" t="s">
        <v>273</v>
      </c>
    </row>
    <row r="63" customFormat="false" ht="26.85" hidden="false" customHeight="false" outlineLevel="0" collapsed="false">
      <c r="A63" s="2" t="s">
        <v>274</v>
      </c>
      <c r="B63" s="3" t="s">
        <v>275</v>
      </c>
      <c r="C63" s="3" t="s">
        <v>276</v>
      </c>
      <c r="D63" s="3" t="s">
        <v>277</v>
      </c>
      <c r="E63" s="3" t="s">
        <v>17</v>
      </c>
      <c r="F63" s="3" t="s">
        <v>46</v>
      </c>
      <c r="G63" s="3" t="n">
        <v>66900</v>
      </c>
      <c r="H63" s="3"/>
      <c r="I63" s="4" t="str">
        <f aca="false">IF(H63="","",ROUND((H63-G63)/H63*100,0))</f>
        <v/>
      </c>
      <c r="J63" s="3" t="s">
        <v>19</v>
      </c>
      <c r="K63" s="3" t="s">
        <v>20</v>
      </c>
      <c r="L63" s="3"/>
      <c r="M63" s="5"/>
      <c r="N63" s="6" t="s">
        <v>278</v>
      </c>
    </row>
    <row r="64" customFormat="false" ht="26.85" hidden="false" customHeight="false" outlineLevel="0" collapsed="false">
      <c r="A64" s="2" t="s">
        <v>279</v>
      </c>
      <c r="B64" s="3" t="s">
        <v>280</v>
      </c>
      <c r="C64" s="3" t="s">
        <v>276</v>
      </c>
      <c r="D64" s="3" t="s">
        <v>281</v>
      </c>
      <c r="E64" s="3" t="s">
        <v>17</v>
      </c>
      <c r="F64" s="3" t="s">
        <v>46</v>
      </c>
      <c r="G64" s="3" t="n">
        <v>70200</v>
      </c>
      <c r="H64" s="3"/>
      <c r="I64" s="4" t="str">
        <f aca="false">IF(H64="","",ROUND((H64-G64)/H64*100,0))</f>
        <v/>
      </c>
      <c r="J64" s="3" t="s">
        <v>19</v>
      </c>
      <c r="K64" s="3" t="s">
        <v>20</v>
      </c>
      <c r="L64" s="3"/>
      <c r="M64" s="5"/>
      <c r="N64" s="6" t="s">
        <v>282</v>
      </c>
    </row>
    <row r="65" customFormat="false" ht="26.85" hidden="false" customHeight="false" outlineLevel="0" collapsed="false">
      <c r="A65" s="2" t="s">
        <v>283</v>
      </c>
      <c r="B65" s="3" t="s">
        <v>284</v>
      </c>
      <c r="C65" s="3"/>
      <c r="D65" s="3" t="s">
        <v>285</v>
      </c>
      <c r="E65" s="3" t="s">
        <v>17</v>
      </c>
      <c r="F65" s="3"/>
      <c r="G65" s="3" t="n">
        <v>6700</v>
      </c>
      <c r="H65" s="3"/>
      <c r="I65" s="4" t="str">
        <f aca="false">IF(H65="","",ROUND((H65-G65)/H65*100,0))</f>
        <v/>
      </c>
      <c r="J65" s="3" t="s">
        <v>19</v>
      </c>
      <c r="K65" s="3" t="s">
        <v>20</v>
      </c>
      <c r="L65" s="3"/>
      <c r="M65" s="5"/>
      <c r="N65" s="6" t="s">
        <v>286</v>
      </c>
    </row>
    <row r="66" customFormat="false" ht="26.85" hidden="false" customHeight="false" outlineLevel="0" collapsed="false">
      <c r="A66" s="2" t="s">
        <v>287</v>
      </c>
      <c r="B66" s="3" t="s">
        <v>288</v>
      </c>
      <c r="C66" s="3"/>
      <c r="D66" s="3" t="s">
        <v>156</v>
      </c>
      <c r="E66" s="3" t="s">
        <v>17</v>
      </c>
      <c r="F66" s="3"/>
      <c r="G66" s="3" t="n">
        <v>7700</v>
      </c>
      <c r="H66" s="3"/>
      <c r="I66" s="4" t="str">
        <f aca="false">IF(H66="","",ROUND((H66-G66)/H66*100,0))</f>
        <v/>
      </c>
      <c r="J66" s="3" t="s">
        <v>19</v>
      </c>
      <c r="K66" s="3" t="s">
        <v>20</v>
      </c>
      <c r="L66" s="3"/>
      <c r="M66" s="5"/>
      <c r="N66" s="6" t="s">
        <v>289</v>
      </c>
    </row>
    <row r="67" customFormat="false" ht="26.85" hidden="false" customHeight="false" outlineLevel="0" collapsed="false">
      <c r="A67" s="2" t="s">
        <v>290</v>
      </c>
      <c r="B67" s="3" t="s">
        <v>291</v>
      </c>
      <c r="C67" s="3"/>
      <c r="D67" s="3" t="s">
        <v>292</v>
      </c>
      <c r="E67" s="3" t="s">
        <v>17</v>
      </c>
      <c r="F67" s="3"/>
      <c r="G67" s="3" t="n">
        <v>6000</v>
      </c>
      <c r="H67" s="3"/>
      <c r="I67" s="4" t="str">
        <f aca="false">IF(H67="","",ROUND((H67-G67)/H67*100,0))</f>
        <v/>
      </c>
      <c r="J67" s="3" t="s">
        <v>19</v>
      </c>
      <c r="K67" s="3" t="s">
        <v>20</v>
      </c>
      <c r="L67" s="3"/>
      <c r="M67" s="5"/>
      <c r="N67" s="6" t="s">
        <v>293</v>
      </c>
    </row>
    <row r="68" customFormat="false" ht="26.85" hidden="false" customHeight="false" outlineLevel="0" collapsed="false">
      <c r="A68" s="2" t="s">
        <v>294</v>
      </c>
      <c r="B68" s="3" t="s">
        <v>295</v>
      </c>
      <c r="C68" s="3" t="s">
        <v>296</v>
      </c>
      <c r="D68" s="3" t="s">
        <v>297</v>
      </c>
      <c r="E68" s="3" t="s">
        <v>17</v>
      </c>
      <c r="F68" s="3" t="s">
        <v>46</v>
      </c>
      <c r="G68" s="3" t="n">
        <v>36500</v>
      </c>
      <c r="H68" s="3"/>
      <c r="I68" s="4" t="str">
        <f aca="false">IF(H68="","",ROUND((H68-G68)/H68*100,0))</f>
        <v/>
      </c>
      <c r="J68" s="3" t="s">
        <v>19</v>
      </c>
      <c r="K68" s="3" t="s">
        <v>20</v>
      </c>
      <c r="L68" s="3"/>
      <c r="M68" s="5"/>
      <c r="N68" s="6" t="s">
        <v>298</v>
      </c>
    </row>
    <row r="69" customFormat="false" ht="26.85" hidden="false" customHeight="false" outlineLevel="0" collapsed="false">
      <c r="A69" s="2" t="s">
        <v>299</v>
      </c>
      <c r="B69" s="3" t="s">
        <v>300</v>
      </c>
      <c r="C69" s="3"/>
      <c r="D69" s="3" t="s">
        <v>301</v>
      </c>
      <c r="E69" s="3" t="s">
        <v>17</v>
      </c>
      <c r="F69" s="3"/>
      <c r="G69" s="3" t="n">
        <v>17300</v>
      </c>
      <c r="H69" s="3"/>
      <c r="I69" s="4" t="str">
        <f aca="false">IF(H69="","",ROUND((H69-G69)/H69*100,0))</f>
        <v/>
      </c>
      <c r="J69" s="3" t="s">
        <v>19</v>
      </c>
      <c r="K69" s="3" t="s">
        <v>20</v>
      </c>
      <c r="L69" s="3"/>
      <c r="M69" s="5"/>
      <c r="N69" s="6" t="s">
        <v>302</v>
      </c>
    </row>
    <row r="70" customFormat="false" ht="26.85" hidden="false" customHeight="false" outlineLevel="0" collapsed="false">
      <c r="A70" s="2" t="s">
        <v>303</v>
      </c>
      <c r="B70" s="3" t="s">
        <v>304</v>
      </c>
      <c r="C70" s="3"/>
      <c r="D70" s="3" t="s">
        <v>156</v>
      </c>
      <c r="E70" s="3" t="s">
        <v>17</v>
      </c>
      <c r="F70" s="3"/>
      <c r="G70" s="3" t="n">
        <v>16300</v>
      </c>
      <c r="H70" s="3"/>
      <c r="I70" s="4" t="str">
        <f aca="false">IF(H70="","",ROUND((H70-G70)/H70*100,0))</f>
        <v/>
      </c>
      <c r="J70" s="3" t="s">
        <v>19</v>
      </c>
      <c r="K70" s="3" t="s">
        <v>20</v>
      </c>
      <c r="L70" s="3"/>
      <c r="M70" s="5"/>
      <c r="N70" s="6" t="s">
        <v>305</v>
      </c>
    </row>
    <row r="71" customFormat="false" ht="26.85" hidden="false" customHeight="false" outlineLevel="0" collapsed="false">
      <c r="A71" s="2" t="s">
        <v>306</v>
      </c>
      <c r="B71" s="3" t="s">
        <v>307</v>
      </c>
      <c r="C71" s="3"/>
      <c r="D71" s="3" t="s">
        <v>308</v>
      </c>
      <c r="E71" s="3" t="s">
        <v>17</v>
      </c>
      <c r="F71" s="3"/>
      <c r="G71" s="3" t="n">
        <v>10500</v>
      </c>
      <c r="H71" s="3"/>
      <c r="I71" s="4" t="str">
        <f aca="false">IF(H71="","",ROUND((H71-G71)/H71*100,0))</f>
        <v/>
      </c>
      <c r="J71" s="3" t="s">
        <v>19</v>
      </c>
      <c r="K71" s="3" t="s">
        <v>20</v>
      </c>
      <c r="L71" s="3"/>
      <c r="M71" s="5"/>
      <c r="N71" s="6" t="s">
        <v>309</v>
      </c>
    </row>
    <row r="72" customFormat="false" ht="26.85" hidden="false" customHeight="false" outlineLevel="0" collapsed="false">
      <c r="A72" s="2" t="s">
        <v>310</v>
      </c>
      <c r="B72" s="3" t="s">
        <v>311</v>
      </c>
      <c r="C72" s="3"/>
      <c r="D72" s="3" t="s">
        <v>312</v>
      </c>
      <c r="E72" s="3" t="s">
        <v>25</v>
      </c>
      <c r="F72" s="3"/>
      <c r="G72" s="3" t="n">
        <v>80000</v>
      </c>
      <c r="H72" s="3"/>
      <c r="I72" s="4" t="str">
        <f aca="false">IF(H72="","",ROUND((H72-G72)/H72*100,0))</f>
        <v/>
      </c>
      <c r="J72" s="3" t="s">
        <v>19</v>
      </c>
      <c r="K72" s="3" t="s">
        <v>20</v>
      </c>
      <c r="L72" s="3"/>
      <c r="M72" s="5"/>
      <c r="N72" s="6" t="s">
        <v>313</v>
      </c>
    </row>
    <row r="73" customFormat="false" ht="26.85" hidden="false" customHeight="false" outlineLevel="0" collapsed="false">
      <c r="A73" s="2" t="s">
        <v>314</v>
      </c>
      <c r="B73" s="3" t="s">
        <v>315</v>
      </c>
      <c r="C73" s="3"/>
      <c r="D73" s="3" t="s">
        <v>316</v>
      </c>
      <c r="E73" s="3" t="s">
        <v>17</v>
      </c>
      <c r="F73" s="3"/>
      <c r="G73" s="3" t="n">
        <v>22800</v>
      </c>
      <c r="H73" s="3"/>
      <c r="I73" s="4" t="str">
        <f aca="false">IF(H73="","",ROUND((H73-G73)/H73*100,0))</f>
        <v/>
      </c>
      <c r="J73" s="3" t="s">
        <v>19</v>
      </c>
      <c r="K73" s="3" t="s">
        <v>20</v>
      </c>
      <c r="L73" s="3"/>
      <c r="M73" s="5"/>
      <c r="N73" s="6" t="s">
        <v>317</v>
      </c>
    </row>
    <row r="74" customFormat="false" ht="26.85" hidden="false" customHeight="false" outlineLevel="0" collapsed="false">
      <c r="A74" s="2" t="s">
        <v>318</v>
      </c>
      <c r="B74" s="3" t="s">
        <v>319</v>
      </c>
      <c r="C74" s="3"/>
      <c r="D74" s="3" t="s">
        <v>320</v>
      </c>
      <c r="E74" s="3" t="s">
        <v>17</v>
      </c>
      <c r="F74" s="3" t="s">
        <v>170</v>
      </c>
      <c r="G74" s="3" t="n">
        <v>11300</v>
      </c>
      <c r="H74" s="3"/>
      <c r="I74" s="4" t="str">
        <f aca="false">IF(H74="","",ROUND((H74-G74)/H74*100,0))</f>
        <v/>
      </c>
      <c r="J74" s="3" t="s">
        <v>19</v>
      </c>
      <c r="K74" s="3" t="s">
        <v>20</v>
      </c>
      <c r="L74" s="3"/>
      <c r="M74" s="5"/>
      <c r="N74" s="6" t="s">
        <v>321</v>
      </c>
    </row>
    <row r="75" customFormat="false" ht="26.85" hidden="false" customHeight="false" outlineLevel="0" collapsed="false">
      <c r="A75" s="2" t="s">
        <v>322</v>
      </c>
      <c r="B75" s="3" t="s">
        <v>323</v>
      </c>
      <c r="C75" s="3"/>
      <c r="D75" s="3" t="s">
        <v>324</v>
      </c>
      <c r="E75" s="3" t="s">
        <v>325</v>
      </c>
      <c r="F75" s="3"/>
      <c r="G75" s="3" t="n">
        <v>67300</v>
      </c>
      <c r="H75" s="3"/>
      <c r="I75" s="4" t="str">
        <f aca="false">IF(H75="","",ROUND((H75-G75)/H75*100,0))</f>
        <v/>
      </c>
      <c r="J75" s="3" t="s">
        <v>19</v>
      </c>
      <c r="K75" s="3" t="s">
        <v>20</v>
      </c>
      <c r="L75" s="3"/>
      <c r="M75" s="5"/>
      <c r="N75" s="6" t="s">
        <v>326</v>
      </c>
    </row>
    <row r="76" customFormat="false" ht="26.85" hidden="false" customHeight="false" outlineLevel="0" collapsed="false">
      <c r="A76" s="2" t="s">
        <v>327</v>
      </c>
      <c r="B76" s="3" t="s">
        <v>328</v>
      </c>
      <c r="C76" s="3"/>
      <c r="D76" s="3" t="s">
        <v>329</v>
      </c>
      <c r="E76" s="3" t="s">
        <v>17</v>
      </c>
      <c r="F76" s="3"/>
      <c r="G76" s="3" t="n">
        <v>34500</v>
      </c>
      <c r="H76" s="3"/>
      <c r="I76" s="4" t="str">
        <f aca="false">IF(H76="","",ROUND((H76-G76)/H76*100,0))</f>
        <v/>
      </c>
      <c r="J76" s="3" t="s">
        <v>19</v>
      </c>
      <c r="K76" s="3" t="s">
        <v>20</v>
      </c>
      <c r="L76" s="3"/>
      <c r="M76" s="5"/>
      <c r="N76" s="6" t="s">
        <v>330</v>
      </c>
    </row>
    <row r="77" customFormat="false" ht="26.85" hidden="false" customHeight="false" outlineLevel="0" collapsed="false">
      <c r="A77" s="2" t="s">
        <v>331</v>
      </c>
      <c r="B77" s="3" t="s">
        <v>332</v>
      </c>
      <c r="C77" s="3"/>
      <c r="D77" s="3" t="s">
        <v>333</v>
      </c>
      <c r="E77" s="3" t="s">
        <v>17</v>
      </c>
      <c r="F77" s="3"/>
      <c r="G77" s="3" t="n">
        <v>9800</v>
      </c>
      <c r="H77" s="3"/>
      <c r="I77" s="4" t="str">
        <f aca="false">IF(H77="","",ROUND((H77-G77)/H77*100,0))</f>
        <v/>
      </c>
      <c r="J77" s="3" t="s">
        <v>19</v>
      </c>
      <c r="K77" s="3" t="s">
        <v>20</v>
      </c>
      <c r="L77" s="3"/>
      <c r="M77" s="5"/>
      <c r="N77" s="6" t="s">
        <v>334</v>
      </c>
    </row>
    <row r="78" customFormat="false" ht="26.85" hidden="false" customHeight="false" outlineLevel="0" collapsed="false">
      <c r="A78" s="2" t="s">
        <v>335</v>
      </c>
      <c r="B78" s="3" t="s">
        <v>336</v>
      </c>
      <c r="C78" s="3" t="s">
        <v>337</v>
      </c>
      <c r="D78" s="3"/>
      <c r="E78" s="3" t="s">
        <v>25</v>
      </c>
      <c r="F78" s="3" t="s">
        <v>26</v>
      </c>
      <c r="G78" s="3" t="n">
        <v>43900</v>
      </c>
      <c r="H78" s="3" t="n">
        <v>59265</v>
      </c>
      <c r="I78" s="4" t="n">
        <f aca="false">IF(H78="","",ROUND((H78-G78)/H78*100,0))</f>
        <v>26</v>
      </c>
      <c r="J78" s="3" t="s">
        <v>19</v>
      </c>
      <c r="K78" s="3" t="s">
        <v>20</v>
      </c>
      <c r="L78" s="3" t="s">
        <v>19</v>
      </c>
      <c r="M78" s="5"/>
      <c r="N78" s="6" t="s">
        <v>338</v>
      </c>
    </row>
    <row r="79" customFormat="false" ht="26.85" hidden="false" customHeight="false" outlineLevel="0" collapsed="false">
      <c r="A79" s="2" t="s">
        <v>339</v>
      </c>
      <c r="B79" s="3" t="s">
        <v>340</v>
      </c>
      <c r="C79" s="3" t="s">
        <v>337</v>
      </c>
      <c r="D79" s="3" t="s">
        <v>341</v>
      </c>
      <c r="E79" s="3" t="s">
        <v>25</v>
      </c>
      <c r="F79" s="3" t="s">
        <v>26</v>
      </c>
      <c r="G79" s="3" t="n">
        <v>27500</v>
      </c>
      <c r="H79" s="3"/>
      <c r="I79" s="4" t="str">
        <f aca="false">IF(H79="","",ROUND((H79-G79)/H79*100,0))</f>
        <v/>
      </c>
      <c r="J79" s="3" t="s">
        <v>19</v>
      </c>
      <c r="K79" s="3" t="s">
        <v>20</v>
      </c>
      <c r="L79" s="3"/>
      <c r="M79" s="5"/>
      <c r="N79" s="6" t="s">
        <v>342</v>
      </c>
    </row>
    <row r="80" customFormat="false" ht="26.85" hidden="false" customHeight="false" outlineLevel="0" collapsed="false">
      <c r="A80" s="2" t="s">
        <v>343</v>
      </c>
      <c r="B80" s="3" t="s">
        <v>344</v>
      </c>
      <c r="C80" s="3" t="s">
        <v>337</v>
      </c>
      <c r="D80" s="3" t="s">
        <v>341</v>
      </c>
      <c r="E80" s="3" t="s">
        <v>25</v>
      </c>
      <c r="F80" s="3" t="s">
        <v>26</v>
      </c>
      <c r="G80" s="3" t="n">
        <v>27100</v>
      </c>
      <c r="H80" s="3"/>
      <c r="I80" s="4" t="str">
        <f aca="false">IF(H80="","",ROUND((H80-G80)/H80*100,0))</f>
        <v/>
      </c>
      <c r="J80" s="3" t="s">
        <v>19</v>
      </c>
      <c r="K80" s="3" t="s">
        <v>20</v>
      </c>
      <c r="L80" s="3"/>
      <c r="M80" s="5"/>
      <c r="N80" s="6" t="s">
        <v>345</v>
      </c>
    </row>
    <row r="81" customFormat="false" ht="26.85" hidden="false" customHeight="false" outlineLevel="0" collapsed="false">
      <c r="A81" s="2" t="s">
        <v>346</v>
      </c>
      <c r="B81" s="3" t="s">
        <v>347</v>
      </c>
      <c r="C81" s="3" t="s">
        <v>348</v>
      </c>
      <c r="D81" s="3"/>
      <c r="E81" s="3" t="s">
        <v>325</v>
      </c>
      <c r="F81" s="3" t="s">
        <v>349</v>
      </c>
      <c r="G81" s="3" t="n">
        <v>29800</v>
      </c>
      <c r="H81" s="3"/>
      <c r="I81" s="4" t="str">
        <f aca="false">IF(H81="","",ROUND((H81-G81)/H81*100,0))</f>
        <v/>
      </c>
      <c r="J81" s="3" t="s">
        <v>19</v>
      </c>
      <c r="K81" s="3" t="s">
        <v>20</v>
      </c>
      <c r="L81" s="3"/>
      <c r="M81" s="5"/>
      <c r="N81" s="6" t="s">
        <v>350</v>
      </c>
    </row>
    <row r="82" customFormat="false" ht="26.85" hidden="false" customHeight="false" outlineLevel="0" collapsed="false">
      <c r="A82" s="2" t="s">
        <v>351</v>
      </c>
      <c r="B82" s="3" t="s">
        <v>352</v>
      </c>
      <c r="C82" s="3" t="s">
        <v>348</v>
      </c>
      <c r="D82" s="3"/>
      <c r="E82" s="3" t="s">
        <v>325</v>
      </c>
      <c r="F82" s="3" t="s">
        <v>349</v>
      </c>
      <c r="G82" s="3" t="n">
        <v>7100</v>
      </c>
      <c r="H82" s="3"/>
      <c r="I82" s="4" t="str">
        <f aca="false">IF(H82="","",ROUND((H82-G82)/H82*100,0))</f>
        <v/>
      </c>
      <c r="J82" s="3" t="s">
        <v>19</v>
      </c>
      <c r="K82" s="3" t="s">
        <v>20</v>
      </c>
      <c r="L82" s="3"/>
      <c r="M82" s="5"/>
      <c r="N82" s="6" t="s">
        <v>353</v>
      </c>
    </row>
    <row r="83" customFormat="false" ht="26.85" hidden="false" customHeight="false" outlineLevel="0" collapsed="false">
      <c r="A83" s="2" t="s">
        <v>354</v>
      </c>
      <c r="B83" s="3" t="s">
        <v>355</v>
      </c>
      <c r="C83" s="3" t="s">
        <v>356</v>
      </c>
      <c r="D83" s="3" t="s">
        <v>357</v>
      </c>
      <c r="E83" s="3" t="s">
        <v>25</v>
      </c>
      <c r="F83" s="3" t="s">
        <v>26</v>
      </c>
      <c r="G83" s="3" t="n">
        <v>16700</v>
      </c>
      <c r="H83" s="3" t="n">
        <v>22545</v>
      </c>
      <c r="I83" s="4" t="n">
        <f aca="false">IF(H83="","",ROUND((H83-G83)/H83*100,0))</f>
        <v>26</v>
      </c>
      <c r="J83" s="3" t="s">
        <v>19</v>
      </c>
      <c r="K83" s="3" t="s">
        <v>20</v>
      </c>
      <c r="L83" s="3" t="s">
        <v>19</v>
      </c>
      <c r="M83" s="5"/>
      <c r="N83" s="6" t="s">
        <v>358</v>
      </c>
    </row>
    <row r="84" customFormat="false" ht="26.85" hidden="false" customHeight="false" outlineLevel="0" collapsed="false">
      <c r="A84" s="2" t="s">
        <v>359</v>
      </c>
      <c r="B84" s="3" t="s">
        <v>360</v>
      </c>
      <c r="C84" s="3"/>
      <c r="D84" s="3" t="s">
        <v>361</v>
      </c>
      <c r="E84" s="3" t="s">
        <v>101</v>
      </c>
      <c r="F84" s="3" t="s">
        <v>102</v>
      </c>
      <c r="G84" s="3" t="n">
        <v>81900</v>
      </c>
      <c r="H84" s="3"/>
      <c r="I84" s="4" t="str">
        <f aca="false">IF(H84="","",ROUND((H84-G84)/H84*100,0))</f>
        <v/>
      </c>
      <c r="J84" s="3" t="s">
        <v>19</v>
      </c>
      <c r="K84" s="3" t="s">
        <v>20</v>
      </c>
      <c r="L84" s="3"/>
      <c r="M84" s="5"/>
      <c r="N84" s="6" t="s">
        <v>362</v>
      </c>
    </row>
    <row r="85" customFormat="false" ht="26.85" hidden="false" customHeight="false" outlineLevel="0" collapsed="false">
      <c r="A85" s="2" t="s">
        <v>363</v>
      </c>
      <c r="B85" s="3" t="s">
        <v>364</v>
      </c>
      <c r="C85" s="3"/>
      <c r="D85" s="3" t="s">
        <v>160</v>
      </c>
      <c r="E85" s="3" t="s">
        <v>17</v>
      </c>
      <c r="F85" s="3" t="s">
        <v>365</v>
      </c>
      <c r="G85" s="3" t="n">
        <v>4900</v>
      </c>
      <c r="H85" s="3"/>
      <c r="I85" s="4" t="str">
        <f aca="false">IF(H85="","",ROUND((H85-G85)/H85*100,0))</f>
        <v/>
      </c>
      <c r="J85" s="3" t="s">
        <v>19</v>
      </c>
      <c r="K85" s="3" t="s">
        <v>20</v>
      </c>
      <c r="L85" s="3"/>
      <c r="M85" s="5"/>
      <c r="N85" s="6" t="s">
        <v>366</v>
      </c>
    </row>
    <row r="86" customFormat="false" ht="26.85" hidden="false" customHeight="false" outlineLevel="0" collapsed="false">
      <c r="A86" s="2" t="s">
        <v>367</v>
      </c>
      <c r="B86" s="3" t="s">
        <v>368</v>
      </c>
      <c r="C86" s="3"/>
      <c r="D86" s="3" t="s">
        <v>369</v>
      </c>
      <c r="E86" s="3" t="s">
        <v>36</v>
      </c>
      <c r="F86" s="3" t="s">
        <v>365</v>
      </c>
      <c r="G86" s="3" t="n">
        <v>13500</v>
      </c>
      <c r="H86" s="3"/>
      <c r="I86" s="4" t="str">
        <f aca="false">IF(H86="","",ROUND((H86-G86)/H86*100,0))</f>
        <v/>
      </c>
      <c r="J86" s="3" t="s">
        <v>19</v>
      </c>
      <c r="K86" s="3" t="s">
        <v>20</v>
      </c>
      <c r="L86" s="3"/>
      <c r="M86" s="5"/>
      <c r="N86" s="6" t="s">
        <v>370</v>
      </c>
    </row>
    <row r="87" customFormat="false" ht="26.85" hidden="false" customHeight="false" outlineLevel="0" collapsed="false">
      <c r="A87" s="2" t="s">
        <v>371</v>
      </c>
      <c r="B87" s="3" t="s">
        <v>372</v>
      </c>
      <c r="C87" s="3"/>
      <c r="D87" s="3" t="s">
        <v>373</v>
      </c>
      <c r="E87" s="3" t="s">
        <v>36</v>
      </c>
      <c r="F87" s="3" t="s">
        <v>374</v>
      </c>
      <c r="G87" s="3" t="n">
        <v>13500</v>
      </c>
      <c r="H87" s="3"/>
      <c r="I87" s="4" t="str">
        <f aca="false">IF(H87="","",ROUND((H87-G87)/H87*100,0))</f>
        <v/>
      </c>
      <c r="J87" s="3" t="s">
        <v>19</v>
      </c>
      <c r="K87" s="3" t="s">
        <v>20</v>
      </c>
      <c r="L87" s="3"/>
      <c r="M87" s="5"/>
      <c r="N87" s="6" t="s">
        <v>375</v>
      </c>
    </row>
    <row r="88" customFormat="false" ht="26.85" hidden="false" customHeight="false" outlineLevel="0" collapsed="false">
      <c r="A88" s="2" t="s">
        <v>376</v>
      </c>
      <c r="B88" s="3" t="s">
        <v>377</v>
      </c>
      <c r="C88" s="3"/>
      <c r="D88" s="3" t="s">
        <v>378</v>
      </c>
      <c r="E88" s="3" t="s">
        <v>325</v>
      </c>
      <c r="F88" s="3" t="s">
        <v>374</v>
      </c>
      <c r="G88" s="3" t="n">
        <v>23500</v>
      </c>
      <c r="H88" s="3"/>
      <c r="I88" s="4" t="str">
        <f aca="false">IF(H88="","",ROUND((H88-G88)/H88*100,0))</f>
        <v/>
      </c>
      <c r="J88" s="3" t="s">
        <v>19</v>
      </c>
      <c r="K88" s="3" t="s">
        <v>20</v>
      </c>
      <c r="L88" s="3"/>
      <c r="M88" s="5"/>
      <c r="N88" s="6" t="s">
        <v>379</v>
      </c>
    </row>
    <row r="89" customFormat="false" ht="26.85" hidden="false" customHeight="false" outlineLevel="0" collapsed="false">
      <c r="A89" s="2" t="s">
        <v>380</v>
      </c>
      <c r="B89" s="3" t="s">
        <v>381</v>
      </c>
      <c r="C89" s="3"/>
      <c r="D89" s="3" t="s">
        <v>382</v>
      </c>
      <c r="E89" s="3" t="s">
        <v>325</v>
      </c>
      <c r="F89" s="3" t="s">
        <v>26</v>
      </c>
      <c r="G89" s="3" t="n">
        <v>18500</v>
      </c>
      <c r="H89" s="3"/>
      <c r="I89" s="4" t="str">
        <f aca="false">IF(H89="","",ROUND((H89-G89)/H89*100,0))</f>
        <v/>
      </c>
      <c r="J89" s="3" t="s">
        <v>19</v>
      </c>
      <c r="K89" s="3" t="s">
        <v>20</v>
      </c>
      <c r="L89" s="3"/>
      <c r="M89" s="5"/>
      <c r="N89" s="6" t="s">
        <v>383</v>
      </c>
    </row>
    <row r="90" customFormat="false" ht="26.85" hidden="false" customHeight="false" outlineLevel="0" collapsed="false">
      <c r="A90" s="2" t="s">
        <v>384</v>
      </c>
      <c r="B90" s="3" t="s">
        <v>385</v>
      </c>
      <c r="C90" s="3" t="s">
        <v>386</v>
      </c>
      <c r="D90" s="3" t="s">
        <v>387</v>
      </c>
      <c r="E90" s="3" t="s">
        <v>325</v>
      </c>
      <c r="F90" s="3" t="s">
        <v>374</v>
      </c>
      <c r="G90" s="3" t="n">
        <v>18300</v>
      </c>
      <c r="H90" s="3"/>
      <c r="I90" s="4" t="str">
        <f aca="false">IF(H90="","",ROUND((H90-G90)/H90*100,0))</f>
        <v/>
      </c>
      <c r="J90" s="3" t="s">
        <v>19</v>
      </c>
      <c r="K90" s="3" t="s">
        <v>20</v>
      </c>
      <c r="L90" s="3"/>
      <c r="M90" s="5"/>
      <c r="N90" s="6" t="s">
        <v>388</v>
      </c>
    </row>
    <row r="91" customFormat="false" ht="26.85" hidden="false" customHeight="false" outlineLevel="0" collapsed="false">
      <c r="A91" s="2" t="s">
        <v>389</v>
      </c>
      <c r="B91" s="3" t="s">
        <v>390</v>
      </c>
      <c r="C91" s="3" t="s">
        <v>391</v>
      </c>
      <c r="D91" s="3" t="s">
        <v>392</v>
      </c>
      <c r="E91" s="3" t="s">
        <v>325</v>
      </c>
      <c r="F91" s="3" t="s">
        <v>374</v>
      </c>
      <c r="G91" s="3" t="n">
        <v>32000</v>
      </c>
      <c r="H91" s="3"/>
      <c r="I91" s="4" t="str">
        <f aca="false">IF(H91="","",ROUND((H91-G91)/H91*100,0))</f>
        <v/>
      </c>
      <c r="J91" s="3" t="s">
        <v>19</v>
      </c>
      <c r="K91" s="3" t="s">
        <v>20</v>
      </c>
      <c r="L91" s="3"/>
      <c r="M91" s="5"/>
      <c r="N91" s="6" t="s">
        <v>393</v>
      </c>
    </row>
    <row r="92" customFormat="false" ht="26.85" hidden="false" customHeight="false" outlineLevel="0" collapsed="false">
      <c r="A92" s="2" t="s">
        <v>394</v>
      </c>
      <c r="B92" s="3" t="s">
        <v>395</v>
      </c>
      <c r="C92" s="3" t="s">
        <v>396</v>
      </c>
      <c r="D92" s="3" t="s">
        <v>397</v>
      </c>
      <c r="E92" s="3" t="s">
        <v>25</v>
      </c>
      <c r="F92" s="3" t="s">
        <v>26</v>
      </c>
      <c r="G92" s="3" t="n">
        <v>31300</v>
      </c>
      <c r="H92" s="3" t="n">
        <v>42255</v>
      </c>
      <c r="I92" s="4" t="n">
        <f aca="false">IF(H92="","",ROUND((H92-G92)/H92*100,0))</f>
        <v>26</v>
      </c>
      <c r="J92" s="3" t="s">
        <v>19</v>
      </c>
      <c r="K92" s="3" t="s">
        <v>20</v>
      </c>
      <c r="L92" s="3"/>
      <c r="M92" s="5"/>
      <c r="N92" s="6" t="s">
        <v>398</v>
      </c>
    </row>
    <row r="93" customFormat="false" ht="26.85" hidden="false" customHeight="false" outlineLevel="0" collapsed="false">
      <c r="A93" s="2" t="s">
        <v>399</v>
      </c>
      <c r="B93" s="3" t="s">
        <v>400</v>
      </c>
      <c r="C93" s="3" t="s">
        <v>391</v>
      </c>
      <c r="D93" s="3" t="s">
        <v>401</v>
      </c>
      <c r="E93" s="3" t="s">
        <v>325</v>
      </c>
      <c r="F93" s="3" t="s">
        <v>374</v>
      </c>
      <c r="G93" s="3" t="n">
        <v>32000</v>
      </c>
      <c r="H93" s="3"/>
      <c r="I93" s="4" t="str">
        <f aca="false">IF(H93="","",ROUND((H93-G93)/H93*100,0))</f>
        <v/>
      </c>
      <c r="J93" s="3" t="s">
        <v>19</v>
      </c>
      <c r="K93" s="3" t="s">
        <v>20</v>
      </c>
      <c r="L93" s="3"/>
      <c r="M93" s="5"/>
      <c r="N93" s="6" t="s">
        <v>402</v>
      </c>
    </row>
    <row r="94" customFormat="false" ht="26.85" hidden="false" customHeight="false" outlineLevel="0" collapsed="false">
      <c r="A94" s="2" t="s">
        <v>403</v>
      </c>
      <c r="B94" s="3" t="s">
        <v>404</v>
      </c>
      <c r="C94" s="3"/>
      <c r="D94" s="3" t="s">
        <v>405</v>
      </c>
      <c r="E94" s="3" t="s">
        <v>17</v>
      </c>
      <c r="F94" s="3"/>
      <c r="G94" s="3" t="n">
        <v>41000</v>
      </c>
      <c r="H94" s="3"/>
      <c r="I94" s="4" t="str">
        <f aca="false">IF(H94="","",ROUND((H94-G94)/H94*100,0))</f>
        <v/>
      </c>
      <c r="J94" s="3" t="s">
        <v>19</v>
      </c>
      <c r="K94" s="3" t="s">
        <v>20</v>
      </c>
      <c r="L94" s="3"/>
      <c r="M94" s="5"/>
      <c r="N94" s="6" t="s">
        <v>406</v>
      </c>
    </row>
    <row r="95" customFormat="false" ht="26.85" hidden="false" customHeight="false" outlineLevel="0" collapsed="false">
      <c r="A95" s="2" t="s">
        <v>407</v>
      </c>
      <c r="B95" s="3" t="s">
        <v>408</v>
      </c>
      <c r="C95" s="3"/>
      <c r="D95" s="3" t="s">
        <v>409</v>
      </c>
      <c r="E95" s="3" t="s">
        <v>325</v>
      </c>
      <c r="F95" s="3"/>
      <c r="G95" s="3" t="n">
        <v>51500</v>
      </c>
      <c r="H95" s="3"/>
      <c r="I95" s="4" t="str">
        <f aca="false">IF(H95="","",ROUND((H95-G95)/H95*100,0))</f>
        <v/>
      </c>
      <c r="J95" s="3" t="s">
        <v>19</v>
      </c>
      <c r="K95" s="3" t="s">
        <v>20</v>
      </c>
      <c r="L95" s="3"/>
      <c r="M95" s="5"/>
      <c r="N95" s="6" t="s">
        <v>410</v>
      </c>
    </row>
    <row r="96" customFormat="false" ht="26.85" hidden="false" customHeight="false" outlineLevel="0" collapsed="false">
      <c r="A96" s="2" t="s">
        <v>411</v>
      </c>
      <c r="B96" s="3" t="s">
        <v>412</v>
      </c>
      <c r="C96" s="3"/>
      <c r="D96" s="3" t="s">
        <v>413</v>
      </c>
      <c r="E96" s="3" t="s">
        <v>25</v>
      </c>
      <c r="F96" s="3"/>
      <c r="G96" s="3" t="n">
        <v>46600</v>
      </c>
      <c r="H96" s="3"/>
      <c r="I96" s="4" t="str">
        <f aca="false">IF(H96="","",ROUND((H96-G96)/H96*100,0))</f>
        <v/>
      </c>
      <c r="J96" s="3" t="s">
        <v>19</v>
      </c>
      <c r="K96" s="3" t="s">
        <v>20</v>
      </c>
      <c r="L96" s="3"/>
      <c r="M96" s="5"/>
      <c r="N96" s="6" t="s">
        <v>414</v>
      </c>
    </row>
    <row r="97" customFormat="false" ht="26.85" hidden="false" customHeight="false" outlineLevel="0" collapsed="false">
      <c r="A97" s="2" t="s">
        <v>415</v>
      </c>
      <c r="B97" s="3" t="s">
        <v>416</v>
      </c>
      <c r="C97" s="3"/>
      <c r="D97" s="3" t="s">
        <v>417</v>
      </c>
      <c r="E97" s="3" t="s">
        <v>25</v>
      </c>
      <c r="F97" s="3"/>
      <c r="G97" s="3" t="n">
        <v>29500</v>
      </c>
      <c r="H97" s="3"/>
      <c r="I97" s="4" t="str">
        <f aca="false">IF(H97="","",ROUND((H97-G97)/H97*100,0))</f>
        <v/>
      </c>
      <c r="J97" s="3" t="s">
        <v>19</v>
      </c>
      <c r="K97" s="3" t="s">
        <v>20</v>
      </c>
      <c r="L97" s="3"/>
      <c r="M97" s="5"/>
      <c r="N97" s="6" t="s">
        <v>418</v>
      </c>
    </row>
    <row r="98" customFormat="false" ht="26.85" hidden="false" customHeight="false" outlineLevel="0" collapsed="false">
      <c r="A98" s="2" t="s">
        <v>419</v>
      </c>
      <c r="B98" s="3" t="s">
        <v>420</v>
      </c>
      <c r="C98" s="3"/>
      <c r="D98" s="3" t="s">
        <v>421</v>
      </c>
      <c r="E98" s="3" t="s">
        <v>17</v>
      </c>
      <c r="F98" s="3"/>
      <c r="G98" s="3" t="n">
        <v>34700</v>
      </c>
      <c r="H98" s="3"/>
      <c r="I98" s="4" t="str">
        <f aca="false">IF(H98="","",ROUND((H98-G98)/H98*100,0))</f>
        <v/>
      </c>
      <c r="J98" s="3" t="s">
        <v>19</v>
      </c>
      <c r="K98" s="3" t="s">
        <v>20</v>
      </c>
      <c r="L98" s="3"/>
      <c r="M98" s="5"/>
      <c r="N98" s="6" t="s">
        <v>422</v>
      </c>
    </row>
    <row r="99" customFormat="false" ht="26.85" hidden="false" customHeight="false" outlineLevel="0" collapsed="false">
      <c r="A99" s="2" t="s">
        <v>423</v>
      </c>
      <c r="B99" s="3" t="s">
        <v>424</v>
      </c>
      <c r="C99" s="3"/>
      <c r="D99" s="3" t="s">
        <v>421</v>
      </c>
      <c r="E99" s="3" t="s">
        <v>17</v>
      </c>
      <c r="F99" s="3"/>
      <c r="G99" s="3" t="n">
        <v>38600</v>
      </c>
      <c r="H99" s="3"/>
      <c r="I99" s="4" t="str">
        <f aca="false">IF(H99="","",ROUND((H99-G99)/H99*100,0))</f>
        <v/>
      </c>
      <c r="J99" s="3" t="s">
        <v>19</v>
      </c>
      <c r="K99" s="3" t="s">
        <v>20</v>
      </c>
      <c r="L99" s="3"/>
      <c r="M99" s="5"/>
      <c r="N99" s="6" t="s">
        <v>425</v>
      </c>
    </row>
    <row r="100" customFormat="false" ht="26.85" hidden="false" customHeight="false" outlineLevel="0" collapsed="false">
      <c r="A100" s="2" t="s">
        <v>426</v>
      </c>
      <c r="B100" s="3" t="s">
        <v>427</v>
      </c>
      <c r="C100" s="3" t="s">
        <v>428</v>
      </c>
      <c r="D100" s="3" t="s">
        <v>429</v>
      </c>
      <c r="E100" s="3" t="s">
        <v>17</v>
      </c>
      <c r="F100" s="3" t="s">
        <v>170</v>
      </c>
      <c r="G100" s="3" t="n">
        <v>89800</v>
      </c>
      <c r="H100" s="3"/>
      <c r="I100" s="4" t="str">
        <f aca="false">IF(H100="","",ROUND((H100-G100)/H100*100,0))</f>
        <v/>
      </c>
      <c r="J100" s="3" t="s">
        <v>19</v>
      </c>
      <c r="K100" s="3" t="s">
        <v>20</v>
      </c>
      <c r="L100" s="3"/>
      <c r="M100" s="5"/>
      <c r="N100" s="6" t="s">
        <v>430</v>
      </c>
    </row>
    <row r="101" customFormat="false" ht="26.85" hidden="false" customHeight="false" outlineLevel="0" collapsed="false">
      <c r="A101" s="2" t="s">
        <v>431</v>
      </c>
      <c r="B101" s="3" t="s">
        <v>432</v>
      </c>
      <c r="C101" s="3"/>
      <c r="D101" s="3" t="s">
        <v>433</v>
      </c>
      <c r="E101" s="3" t="s">
        <v>17</v>
      </c>
      <c r="F101" s="3" t="s">
        <v>102</v>
      </c>
      <c r="G101" s="3" t="n">
        <v>35500</v>
      </c>
      <c r="H101" s="3"/>
      <c r="I101" s="4" t="str">
        <f aca="false">IF(H101="","",ROUND((H101-G101)/H101*100,0))</f>
        <v/>
      </c>
      <c r="J101" s="3" t="s">
        <v>19</v>
      </c>
      <c r="K101" s="3" t="s">
        <v>20</v>
      </c>
      <c r="L101" s="3"/>
      <c r="M101" s="5"/>
      <c r="N101" s="6" t="s">
        <v>434</v>
      </c>
    </row>
    <row r="102" customFormat="false" ht="26.85" hidden="false" customHeight="false" outlineLevel="0" collapsed="false">
      <c r="A102" s="2" t="s">
        <v>435</v>
      </c>
      <c r="B102" s="3" t="s">
        <v>436</v>
      </c>
      <c r="C102" s="3"/>
      <c r="D102" s="3" t="s">
        <v>437</v>
      </c>
      <c r="E102" s="3" t="s">
        <v>17</v>
      </c>
      <c r="F102" s="3"/>
      <c r="G102" s="3" t="n">
        <v>6500</v>
      </c>
      <c r="H102" s="3"/>
      <c r="I102" s="4" t="str">
        <f aca="false">IF(H102="","",ROUND((H102-G102)/H102*100,0))</f>
        <v/>
      </c>
      <c r="J102" s="3" t="s">
        <v>19</v>
      </c>
      <c r="K102" s="3" t="s">
        <v>20</v>
      </c>
      <c r="L102" s="3"/>
      <c r="M102" s="5"/>
      <c r="N102" s="6" t="s">
        <v>438</v>
      </c>
    </row>
    <row r="103" customFormat="false" ht="26.85" hidden="false" customHeight="false" outlineLevel="0" collapsed="false">
      <c r="A103" s="2" t="s">
        <v>439</v>
      </c>
      <c r="B103" s="3" t="s">
        <v>440</v>
      </c>
      <c r="C103" s="3"/>
      <c r="D103" s="3" t="s">
        <v>441</v>
      </c>
      <c r="E103" s="3" t="s">
        <v>17</v>
      </c>
      <c r="F103" s="3"/>
      <c r="G103" s="3" t="n">
        <v>4500</v>
      </c>
      <c r="H103" s="3"/>
      <c r="I103" s="4" t="str">
        <f aca="false">IF(H103="","",ROUND((H103-G103)/H103*100,0))</f>
        <v/>
      </c>
      <c r="J103" s="3" t="s">
        <v>19</v>
      </c>
      <c r="K103" s="3" t="s">
        <v>20</v>
      </c>
      <c r="L103" s="3"/>
      <c r="M103" s="5"/>
      <c r="N103" s="6" t="s">
        <v>442</v>
      </c>
    </row>
    <row r="104" customFormat="false" ht="39.55" hidden="false" customHeight="false" outlineLevel="0" collapsed="false">
      <c r="A104" s="2" t="s">
        <v>443</v>
      </c>
      <c r="B104" s="3" t="s">
        <v>444</v>
      </c>
      <c r="C104" s="3"/>
      <c r="D104" s="3" t="s">
        <v>445</v>
      </c>
      <c r="E104" s="3" t="s">
        <v>17</v>
      </c>
      <c r="F104" s="3"/>
      <c r="G104" s="3" t="n">
        <v>13500</v>
      </c>
      <c r="H104" s="3"/>
      <c r="I104" s="4" t="str">
        <f aca="false">IF(H104="","",ROUND((H104-G104)/H104*100,0))</f>
        <v/>
      </c>
      <c r="J104" s="3" t="s">
        <v>19</v>
      </c>
      <c r="K104" s="3" t="s">
        <v>20</v>
      </c>
      <c r="L104" s="3"/>
      <c r="M104" s="5"/>
      <c r="N104" s="6" t="s">
        <v>446</v>
      </c>
    </row>
    <row r="105" customFormat="false" ht="26.85" hidden="false" customHeight="false" outlineLevel="0" collapsed="false">
      <c r="A105" s="2" t="s">
        <v>447</v>
      </c>
      <c r="B105" s="3" t="s">
        <v>448</v>
      </c>
      <c r="C105" s="3"/>
      <c r="D105" s="3" t="s">
        <v>449</v>
      </c>
      <c r="E105" s="3" t="s">
        <v>17</v>
      </c>
      <c r="F105" s="3" t="s">
        <v>102</v>
      </c>
      <c r="G105" s="3" t="n">
        <v>9500</v>
      </c>
      <c r="H105" s="3"/>
      <c r="I105" s="4" t="str">
        <f aca="false">IF(H105="","",ROUND((H105-G105)/H105*100,0))</f>
        <v/>
      </c>
      <c r="J105" s="3" t="s">
        <v>19</v>
      </c>
      <c r="K105" s="3" t="s">
        <v>20</v>
      </c>
      <c r="L105" s="3"/>
      <c r="M105" s="5"/>
      <c r="N105" s="6" t="s">
        <v>450</v>
      </c>
    </row>
    <row r="106" customFormat="false" ht="26.85" hidden="false" customHeight="false" outlineLevel="0" collapsed="false">
      <c r="A106" s="2" t="s">
        <v>451</v>
      </c>
      <c r="B106" s="3" t="s">
        <v>452</v>
      </c>
      <c r="C106" s="3"/>
      <c r="D106" s="3" t="s">
        <v>453</v>
      </c>
      <c r="E106" s="3" t="s">
        <v>17</v>
      </c>
      <c r="F106" s="3"/>
      <c r="G106" s="3" t="n">
        <v>9500</v>
      </c>
      <c r="H106" s="3"/>
      <c r="I106" s="4" t="str">
        <f aca="false">IF(H106="","",ROUND((H106-G106)/H106*100,0))</f>
        <v/>
      </c>
      <c r="J106" s="3" t="s">
        <v>19</v>
      </c>
      <c r="K106" s="3" t="s">
        <v>20</v>
      </c>
      <c r="L106" s="3"/>
      <c r="M106" s="5"/>
      <c r="N106" s="6" t="s">
        <v>454</v>
      </c>
    </row>
    <row r="107" customFormat="false" ht="26.85" hidden="false" customHeight="false" outlineLevel="0" collapsed="false">
      <c r="A107" s="2" t="s">
        <v>455</v>
      </c>
      <c r="B107" s="3" t="s">
        <v>456</v>
      </c>
      <c r="C107" s="3"/>
      <c r="D107" s="3" t="s">
        <v>417</v>
      </c>
      <c r="E107" s="3" t="s">
        <v>17</v>
      </c>
      <c r="F107" s="3"/>
      <c r="G107" s="3" t="n">
        <v>49500</v>
      </c>
      <c r="H107" s="3"/>
      <c r="I107" s="4" t="str">
        <f aca="false">IF(H107="","",ROUND((H107-G107)/H107*100,0))</f>
        <v/>
      </c>
      <c r="J107" s="3" t="s">
        <v>19</v>
      </c>
      <c r="K107" s="3" t="s">
        <v>20</v>
      </c>
      <c r="L107" s="3"/>
      <c r="M107" s="5"/>
      <c r="N107" s="6" t="s">
        <v>457</v>
      </c>
    </row>
    <row r="108" customFormat="false" ht="26.85" hidden="false" customHeight="false" outlineLevel="0" collapsed="false">
      <c r="A108" s="2" t="s">
        <v>458</v>
      </c>
      <c r="B108" s="3" t="s">
        <v>459</v>
      </c>
      <c r="C108" s="3"/>
      <c r="D108" s="3" t="s">
        <v>460</v>
      </c>
      <c r="E108" s="3" t="s">
        <v>17</v>
      </c>
      <c r="F108" s="3"/>
      <c r="G108" s="3" t="n">
        <v>27500</v>
      </c>
      <c r="H108" s="3"/>
      <c r="I108" s="4" t="str">
        <f aca="false">IF(H108="","",ROUND((H108-G108)/H108*100,0))</f>
        <v/>
      </c>
      <c r="J108" s="3" t="s">
        <v>19</v>
      </c>
      <c r="K108" s="3" t="s">
        <v>20</v>
      </c>
      <c r="L108" s="3"/>
      <c r="M108" s="5"/>
      <c r="N108" s="6" t="s">
        <v>461</v>
      </c>
    </row>
    <row r="109" customFormat="false" ht="26.85" hidden="false" customHeight="false" outlineLevel="0" collapsed="false">
      <c r="A109" s="2" t="s">
        <v>462</v>
      </c>
      <c r="B109" s="3" t="s">
        <v>463</v>
      </c>
      <c r="C109" s="3"/>
      <c r="D109" s="3" t="s">
        <v>464</v>
      </c>
      <c r="E109" s="3" t="s">
        <v>17</v>
      </c>
      <c r="F109" s="3" t="s">
        <v>26</v>
      </c>
      <c r="G109" s="3" t="n">
        <v>10500</v>
      </c>
      <c r="H109" s="3"/>
      <c r="I109" s="4" t="str">
        <f aca="false">IF(H109="","",ROUND((H109-G109)/H109*100,0))</f>
        <v/>
      </c>
      <c r="J109" s="3" t="s">
        <v>19</v>
      </c>
      <c r="K109" s="3" t="s">
        <v>20</v>
      </c>
      <c r="L109" s="3"/>
      <c r="M109" s="5"/>
      <c r="N109" s="6" t="s">
        <v>465</v>
      </c>
    </row>
    <row r="110" customFormat="false" ht="26.85" hidden="false" customHeight="false" outlineLevel="0" collapsed="false">
      <c r="A110" s="2" t="s">
        <v>466</v>
      </c>
      <c r="B110" s="3" t="s">
        <v>467</v>
      </c>
      <c r="C110" s="3"/>
      <c r="D110" s="3" t="s">
        <v>468</v>
      </c>
      <c r="E110" s="3" t="s">
        <v>17</v>
      </c>
      <c r="F110" s="3" t="s">
        <v>26</v>
      </c>
      <c r="G110" s="3" t="n">
        <v>35700</v>
      </c>
      <c r="H110" s="3"/>
      <c r="I110" s="4" t="str">
        <f aca="false">IF(H110="","",ROUND((H110-G110)/H110*100,0))</f>
        <v/>
      </c>
      <c r="J110" s="3" t="s">
        <v>19</v>
      </c>
      <c r="K110" s="3" t="s">
        <v>20</v>
      </c>
      <c r="L110" s="3"/>
      <c r="M110" s="5"/>
      <c r="N110" s="6" t="s">
        <v>469</v>
      </c>
    </row>
    <row r="111" customFormat="false" ht="26.85" hidden="false" customHeight="false" outlineLevel="0" collapsed="false">
      <c r="A111" s="2" t="s">
        <v>470</v>
      </c>
      <c r="B111" s="3" t="s">
        <v>471</v>
      </c>
      <c r="C111" s="3"/>
      <c r="D111" s="3" t="s">
        <v>472</v>
      </c>
      <c r="E111" s="3" t="s">
        <v>17</v>
      </c>
      <c r="F111" s="3"/>
      <c r="G111" s="3" t="n">
        <v>12200</v>
      </c>
      <c r="H111" s="3"/>
      <c r="I111" s="4" t="str">
        <f aca="false">IF(H111="","",ROUND((H111-G111)/H111*100,0))</f>
        <v/>
      </c>
      <c r="J111" s="3" t="s">
        <v>19</v>
      </c>
      <c r="K111" s="3" t="s">
        <v>20</v>
      </c>
      <c r="L111" s="3"/>
      <c r="M111" s="5"/>
      <c r="N111" s="6" t="s">
        <v>473</v>
      </c>
    </row>
    <row r="112" customFormat="false" ht="26.85" hidden="false" customHeight="false" outlineLevel="0" collapsed="false">
      <c r="A112" s="2" t="s">
        <v>474</v>
      </c>
      <c r="B112" s="3" t="s">
        <v>475</v>
      </c>
      <c r="C112" s="3"/>
      <c r="D112" s="3" t="s">
        <v>115</v>
      </c>
      <c r="E112" s="3" t="s">
        <v>17</v>
      </c>
      <c r="F112" s="3"/>
      <c r="G112" s="3" t="n">
        <v>14500</v>
      </c>
      <c r="H112" s="3"/>
      <c r="I112" s="4" t="str">
        <f aca="false">IF(H112="","",ROUND((H112-G112)/H112*100,0))</f>
        <v/>
      </c>
      <c r="J112" s="3" t="s">
        <v>19</v>
      </c>
      <c r="K112" s="3" t="s">
        <v>20</v>
      </c>
      <c r="L112" s="3"/>
      <c r="M112" s="5"/>
      <c r="N112" s="6" t="s">
        <v>476</v>
      </c>
    </row>
    <row r="113" customFormat="false" ht="26.85" hidden="false" customHeight="false" outlineLevel="0" collapsed="false">
      <c r="A113" s="2" t="s">
        <v>477</v>
      </c>
      <c r="B113" s="3" t="s">
        <v>478</v>
      </c>
      <c r="C113" s="3"/>
      <c r="D113" s="3" t="s">
        <v>235</v>
      </c>
      <c r="E113" s="3" t="s">
        <v>17</v>
      </c>
      <c r="F113" s="3" t="s">
        <v>102</v>
      </c>
      <c r="G113" s="3" t="n">
        <v>19500</v>
      </c>
      <c r="H113" s="3"/>
      <c r="I113" s="4" t="str">
        <f aca="false">IF(H113="","",ROUND((H113-G113)/H113*100,0))</f>
        <v/>
      </c>
      <c r="J113" s="3" t="s">
        <v>19</v>
      </c>
      <c r="K113" s="3" t="s">
        <v>20</v>
      </c>
      <c r="L113" s="3"/>
      <c r="M113" s="5"/>
      <c r="N113" s="6" t="s">
        <v>479</v>
      </c>
    </row>
    <row r="114" customFormat="false" ht="26.85" hidden="false" customHeight="false" outlineLevel="0" collapsed="false">
      <c r="A114" s="2" t="s">
        <v>480</v>
      </c>
      <c r="B114" s="3" t="s">
        <v>481</v>
      </c>
      <c r="C114" s="3"/>
      <c r="D114" s="3" t="s">
        <v>472</v>
      </c>
      <c r="E114" s="3" t="s">
        <v>17</v>
      </c>
      <c r="F114" s="3"/>
      <c r="G114" s="3" t="n">
        <v>9500</v>
      </c>
      <c r="H114" s="3"/>
      <c r="I114" s="4" t="str">
        <f aca="false">IF(H114="","",ROUND((H114-G114)/H114*100,0))</f>
        <v/>
      </c>
      <c r="J114" s="3" t="s">
        <v>19</v>
      </c>
      <c r="K114" s="3" t="s">
        <v>20</v>
      </c>
      <c r="L114" s="3"/>
      <c r="M114" s="5"/>
      <c r="N114" s="6" t="s">
        <v>482</v>
      </c>
    </row>
    <row r="115" customFormat="false" ht="26.85" hidden="false" customHeight="false" outlineLevel="0" collapsed="false">
      <c r="A115" s="2" t="s">
        <v>483</v>
      </c>
      <c r="B115" s="3" t="s">
        <v>484</v>
      </c>
      <c r="C115" s="3" t="s">
        <v>485</v>
      </c>
      <c r="D115" s="3" t="s">
        <v>316</v>
      </c>
      <c r="E115" s="3" t="s">
        <v>36</v>
      </c>
      <c r="F115" s="3" t="s">
        <v>18</v>
      </c>
      <c r="G115" s="3" t="n">
        <v>39500</v>
      </c>
      <c r="H115" s="3"/>
      <c r="I115" s="4" t="str">
        <f aca="false">IF(H115="","",ROUND((H115-G115)/H115*100,0))</f>
        <v/>
      </c>
      <c r="J115" s="3" t="s">
        <v>19</v>
      </c>
      <c r="K115" s="3" t="s">
        <v>20</v>
      </c>
      <c r="L115" s="3"/>
      <c r="M115" s="5"/>
      <c r="N115" s="6" t="s">
        <v>486</v>
      </c>
    </row>
    <row r="116" customFormat="false" ht="26.85" hidden="false" customHeight="false" outlineLevel="0" collapsed="false">
      <c r="A116" s="2" t="s">
        <v>487</v>
      </c>
      <c r="B116" s="3" t="s">
        <v>488</v>
      </c>
      <c r="C116" s="3"/>
      <c r="D116" s="3" t="s">
        <v>235</v>
      </c>
      <c r="E116" s="3" t="s">
        <v>325</v>
      </c>
      <c r="F116" s="3" t="s">
        <v>102</v>
      </c>
      <c r="G116" s="3" t="n">
        <v>16200</v>
      </c>
      <c r="H116" s="3"/>
      <c r="I116" s="4" t="str">
        <f aca="false">IF(H116="","",ROUND((H116-G116)/H116*100,0))</f>
        <v/>
      </c>
      <c r="J116" s="3" t="s">
        <v>19</v>
      </c>
      <c r="K116" s="3" t="s">
        <v>20</v>
      </c>
      <c r="L116" s="3"/>
      <c r="M116" s="5"/>
      <c r="N116" s="6" t="s">
        <v>489</v>
      </c>
    </row>
    <row r="117" customFormat="false" ht="26.85" hidden="false" customHeight="false" outlineLevel="0" collapsed="false">
      <c r="A117" s="2" t="s">
        <v>490</v>
      </c>
      <c r="B117" s="3" t="s">
        <v>491</v>
      </c>
      <c r="C117" s="3" t="s">
        <v>492</v>
      </c>
      <c r="D117" s="3" t="s">
        <v>493</v>
      </c>
      <c r="E117" s="3" t="s">
        <v>325</v>
      </c>
      <c r="F117" s="3" t="s">
        <v>102</v>
      </c>
      <c r="G117" s="3" t="n">
        <v>14900</v>
      </c>
      <c r="H117" s="3" t="n">
        <v>20115</v>
      </c>
      <c r="I117" s="4" t="n">
        <f aca="false">IF(H117="","",ROUND((H117-G117)/H117*100,0))</f>
        <v>26</v>
      </c>
      <c r="J117" s="3" t="s">
        <v>19</v>
      </c>
      <c r="K117" s="3" t="s">
        <v>20</v>
      </c>
      <c r="L117" s="3"/>
      <c r="M117" s="5"/>
      <c r="N117" s="6" t="s">
        <v>494</v>
      </c>
    </row>
    <row r="118" customFormat="false" ht="26.85" hidden="false" customHeight="false" outlineLevel="0" collapsed="false">
      <c r="A118" s="2" t="s">
        <v>495</v>
      </c>
      <c r="B118" s="3" t="s">
        <v>496</v>
      </c>
      <c r="C118" s="3"/>
      <c r="D118" s="3" t="s">
        <v>497</v>
      </c>
      <c r="E118" s="3" t="s">
        <v>36</v>
      </c>
      <c r="F118" s="3" t="s">
        <v>37</v>
      </c>
      <c r="G118" s="3" t="n">
        <v>14900</v>
      </c>
      <c r="H118" s="3"/>
      <c r="I118" s="4" t="str">
        <f aca="false">IF(H118="","",ROUND((H118-G118)/H118*100,0))</f>
        <v/>
      </c>
      <c r="J118" s="3" t="s">
        <v>19</v>
      </c>
      <c r="K118" s="3" t="s">
        <v>20</v>
      </c>
      <c r="L118" s="3"/>
      <c r="M118" s="5"/>
      <c r="N118" s="6" t="s">
        <v>498</v>
      </c>
    </row>
    <row r="119" customFormat="false" ht="26.85" hidden="false" customHeight="false" outlineLevel="0" collapsed="false">
      <c r="A119" s="2" t="s">
        <v>499</v>
      </c>
      <c r="B119" s="3" t="s">
        <v>500</v>
      </c>
      <c r="C119" s="3" t="s">
        <v>501</v>
      </c>
      <c r="D119" s="3" t="s">
        <v>502</v>
      </c>
      <c r="E119" s="3" t="s">
        <v>325</v>
      </c>
      <c r="F119" s="3" t="s">
        <v>102</v>
      </c>
      <c r="G119" s="3" t="n">
        <v>19900</v>
      </c>
      <c r="H119" s="3"/>
      <c r="I119" s="4" t="str">
        <f aca="false">IF(H119="","",ROUND((H119-G119)/H119*100,0))</f>
        <v/>
      </c>
      <c r="J119" s="3" t="s">
        <v>19</v>
      </c>
      <c r="K119" s="3" t="s">
        <v>20</v>
      </c>
      <c r="L119" s="3"/>
      <c r="M119" s="5"/>
      <c r="N119" s="6" t="s">
        <v>503</v>
      </c>
    </row>
    <row r="120" customFormat="false" ht="26.85" hidden="false" customHeight="false" outlineLevel="0" collapsed="false">
      <c r="A120" s="2" t="s">
        <v>504</v>
      </c>
      <c r="B120" s="3" t="s">
        <v>505</v>
      </c>
      <c r="C120" s="3" t="s">
        <v>501</v>
      </c>
      <c r="D120" s="3" t="s">
        <v>506</v>
      </c>
      <c r="E120" s="3" t="s">
        <v>325</v>
      </c>
      <c r="F120" s="3" t="s">
        <v>102</v>
      </c>
      <c r="G120" s="3" t="n">
        <v>13200</v>
      </c>
      <c r="H120" s="3"/>
      <c r="I120" s="4" t="str">
        <f aca="false">IF(H120="","",ROUND((H120-G120)/H120*100,0))</f>
        <v/>
      </c>
      <c r="J120" s="3" t="s">
        <v>19</v>
      </c>
      <c r="K120" s="3" t="s">
        <v>20</v>
      </c>
      <c r="L120" s="3"/>
      <c r="M120" s="5"/>
      <c r="N120" s="6" t="s">
        <v>507</v>
      </c>
    </row>
    <row r="121" customFormat="false" ht="26.85" hidden="false" customHeight="false" outlineLevel="0" collapsed="false">
      <c r="A121" s="2" t="s">
        <v>508</v>
      </c>
      <c r="B121" s="3" t="s">
        <v>509</v>
      </c>
      <c r="C121" s="3" t="s">
        <v>510</v>
      </c>
      <c r="D121" s="3" t="s">
        <v>511</v>
      </c>
      <c r="E121" s="3" t="s">
        <v>325</v>
      </c>
      <c r="F121" s="3" t="s">
        <v>102</v>
      </c>
      <c r="G121" s="3" t="n">
        <v>8200</v>
      </c>
      <c r="H121" s="3" t="n">
        <v>11070</v>
      </c>
      <c r="I121" s="4" t="n">
        <f aca="false">IF(H121="","",ROUND((H121-G121)/H121*100,0))</f>
        <v>26</v>
      </c>
      <c r="J121" s="3" t="s">
        <v>19</v>
      </c>
      <c r="K121" s="3" t="s">
        <v>20</v>
      </c>
      <c r="L121" s="3"/>
      <c r="M121" s="5"/>
      <c r="N121" s="6" t="s">
        <v>512</v>
      </c>
    </row>
    <row r="122" customFormat="false" ht="26.85" hidden="false" customHeight="false" outlineLevel="0" collapsed="false">
      <c r="A122" s="2" t="s">
        <v>513</v>
      </c>
      <c r="B122" s="3" t="s">
        <v>514</v>
      </c>
      <c r="C122" s="3" t="s">
        <v>492</v>
      </c>
      <c r="D122" s="3" t="s">
        <v>515</v>
      </c>
      <c r="E122" s="3" t="s">
        <v>325</v>
      </c>
      <c r="F122" s="3" t="s">
        <v>102</v>
      </c>
      <c r="G122" s="3" t="n">
        <v>13500</v>
      </c>
      <c r="H122" s="3"/>
      <c r="I122" s="4" t="str">
        <f aca="false">IF(H122="","",ROUND((H122-G122)/H122*100,0))</f>
        <v/>
      </c>
      <c r="J122" s="3" t="s">
        <v>19</v>
      </c>
      <c r="K122" s="3" t="s">
        <v>20</v>
      </c>
      <c r="L122" s="3"/>
      <c r="M122" s="5"/>
      <c r="N122" s="6" t="s">
        <v>516</v>
      </c>
    </row>
    <row r="123" customFormat="false" ht="26.85" hidden="false" customHeight="false" outlineLevel="0" collapsed="false">
      <c r="A123" s="2" t="s">
        <v>517</v>
      </c>
      <c r="B123" s="3" t="s">
        <v>518</v>
      </c>
      <c r="C123" s="3"/>
      <c r="D123" s="3" t="s">
        <v>519</v>
      </c>
      <c r="E123" s="3" t="s">
        <v>36</v>
      </c>
      <c r="F123" s="3" t="s">
        <v>37</v>
      </c>
      <c r="G123" s="3" t="n">
        <v>12700</v>
      </c>
      <c r="H123" s="3"/>
      <c r="I123" s="4" t="str">
        <f aca="false">IF(H123="","",ROUND((H123-G123)/H123*100,0))</f>
        <v/>
      </c>
      <c r="J123" s="3" t="s">
        <v>19</v>
      </c>
      <c r="K123" s="3" t="s">
        <v>20</v>
      </c>
      <c r="L123" s="3"/>
      <c r="M123" s="5"/>
      <c r="N123" s="6" t="s">
        <v>520</v>
      </c>
    </row>
    <row r="124" customFormat="false" ht="26.85" hidden="false" customHeight="false" outlineLevel="0" collapsed="false">
      <c r="A124" s="2" t="s">
        <v>521</v>
      </c>
      <c r="B124" s="3" t="s">
        <v>522</v>
      </c>
      <c r="C124" s="3"/>
      <c r="D124" s="3" t="s">
        <v>523</v>
      </c>
      <c r="E124" s="3" t="s">
        <v>325</v>
      </c>
      <c r="F124" s="3" t="s">
        <v>102</v>
      </c>
      <c r="G124" s="3" t="n">
        <v>14200</v>
      </c>
      <c r="H124" s="3"/>
      <c r="I124" s="4" t="str">
        <f aca="false">IF(H124="","",ROUND((H124-G124)/H124*100,0))</f>
        <v/>
      </c>
      <c r="J124" s="3" t="s">
        <v>19</v>
      </c>
      <c r="K124" s="3" t="s">
        <v>20</v>
      </c>
      <c r="L124" s="3"/>
      <c r="M124" s="5"/>
      <c r="N124" s="6" t="s">
        <v>524</v>
      </c>
    </row>
    <row r="125" customFormat="false" ht="26.85" hidden="false" customHeight="false" outlineLevel="0" collapsed="false">
      <c r="A125" s="2" t="s">
        <v>525</v>
      </c>
      <c r="B125" s="3" t="s">
        <v>526</v>
      </c>
      <c r="C125" s="3"/>
      <c r="D125" s="3"/>
      <c r="E125" s="3" t="s">
        <v>325</v>
      </c>
      <c r="F125" s="3"/>
      <c r="G125" s="3" t="n">
        <v>30000</v>
      </c>
      <c r="H125" s="3" t="n">
        <v>40500</v>
      </c>
      <c r="I125" s="4" t="n">
        <f aca="false">IF(H125="","",ROUND((H125-G125)/H125*100,0))</f>
        <v>26</v>
      </c>
      <c r="J125" s="3" t="s">
        <v>19</v>
      </c>
      <c r="K125" s="3" t="s">
        <v>20</v>
      </c>
      <c r="L125" s="3"/>
      <c r="M125" s="5"/>
      <c r="N125" s="6" t="s">
        <v>527</v>
      </c>
    </row>
    <row r="126" customFormat="false" ht="26.85" hidden="false" customHeight="false" outlineLevel="0" collapsed="false">
      <c r="A126" s="2" t="s">
        <v>528</v>
      </c>
      <c r="B126" s="3" t="s">
        <v>529</v>
      </c>
      <c r="C126" s="3" t="s">
        <v>492</v>
      </c>
      <c r="D126" s="3" t="s">
        <v>515</v>
      </c>
      <c r="E126" s="3" t="s">
        <v>325</v>
      </c>
      <c r="F126" s="3" t="s">
        <v>102</v>
      </c>
      <c r="G126" s="3" t="n">
        <v>12700</v>
      </c>
      <c r="H126" s="3"/>
      <c r="I126" s="4" t="str">
        <f aca="false">IF(H126="","",ROUND((H126-G126)/H126*100,0))</f>
        <v/>
      </c>
      <c r="J126" s="3" t="s">
        <v>19</v>
      </c>
      <c r="K126" s="3" t="s">
        <v>20</v>
      </c>
      <c r="L126" s="3"/>
      <c r="M126" s="5"/>
      <c r="N126" s="6" t="s">
        <v>530</v>
      </c>
    </row>
    <row r="127" customFormat="false" ht="26.85" hidden="false" customHeight="false" outlineLevel="0" collapsed="false">
      <c r="A127" s="2" t="s">
        <v>531</v>
      </c>
      <c r="B127" s="3" t="s">
        <v>514</v>
      </c>
      <c r="C127" s="3" t="s">
        <v>492</v>
      </c>
      <c r="D127" s="3" t="s">
        <v>515</v>
      </c>
      <c r="E127" s="3" t="s">
        <v>325</v>
      </c>
      <c r="F127" s="3" t="s">
        <v>102</v>
      </c>
      <c r="G127" s="3" t="n">
        <v>15300</v>
      </c>
      <c r="H127" s="3"/>
      <c r="I127" s="4" t="str">
        <f aca="false">IF(H127="","",ROUND((H127-G127)/H127*100,0))</f>
        <v/>
      </c>
      <c r="J127" s="3" t="s">
        <v>19</v>
      </c>
      <c r="K127" s="3" t="s">
        <v>20</v>
      </c>
      <c r="L127" s="3"/>
      <c r="M127" s="5"/>
      <c r="N127" s="6" t="s">
        <v>516</v>
      </c>
    </row>
    <row r="128" customFormat="false" ht="26.85" hidden="false" customHeight="false" outlineLevel="0" collapsed="false">
      <c r="A128" s="2" t="s">
        <v>532</v>
      </c>
      <c r="B128" s="3" t="s">
        <v>533</v>
      </c>
      <c r="C128" s="3" t="s">
        <v>501</v>
      </c>
      <c r="D128" s="3"/>
      <c r="E128" s="3" t="s">
        <v>325</v>
      </c>
      <c r="F128" s="3" t="s">
        <v>102</v>
      </c>
      <c r="G128" s="3" t="n">
        <v>21700</v>
      </c>
      <c r="H128" s="3"/>
      <c r="I128" s="4" t="str">
        <f aca="false">IF(H128="","",ROUND((H128-G128)/H128*100,0))</f>
        <v/>
      </c>
      <c r="J128" s="3" t="s">
        <v>19</v>
      </c>
      <c r="K128" s="3" t="s">
        <v>20</v>
      </c>
      <c r="L128" s="3"/>
      <c r="M128" s="5"/>
      <c r="N128" s="6" t="s">
        <v>534</v>
      </c>
    </row>
    <row r="129" customFormat="false" ht="26.85" hidden="false" customHeight="false" outlineLevel="0" collapsed="false">
      <c r="A129" s="2" t="s">
        <v>535</v>
      </c>
      <c r="B129" s="3" t="s">
        <v>536</v>
      </c>
      <c r="C129" s="3"/>
      <c r="D129" s="3" t="s">
        <v>537</v>
      </c>
      <c r="E129" s="3" t="s">
        <v>17</v>
      </c>
      <c r="F129" s="3"/>
      <c r="G129" s="3" t="n">
        <v>26500</v>
      </c>
      <c r="H129" s="3"/>
      <c r="I129" s="4" t="str">
        <f aca="false">IF(H129="","",ROUND((H129-G129)/H129*100,0))</f>
        <v/>
      </c>
      <c r="J129" s="3" t="s">
        <v>19</v>
      </c>
      <c r="K129" s="3" t="s">
        <v>20</v>
      </c>
      <c r="L129" s="3"/>
      <c r="M129" s="5"/>
      <c r="N129" s="6" t="s">
        <v>538</v>
      </c>
    </row>
    <row r="130" customFormat="false" ht="26.85" hidden="false" customHeight="false" outlineLevel="0" collapsed="false">
      <c r="A130" s="2" t="s">
        <v>539</v>
      </c>
      <c r="B130" s="3" t="s">
        <v>540</v>
      </c>
      <c r="C130" s="3"/>
      <c r="D130" s="3"/>
      <c r="E130" s="3" t="s">
        <v>17</v>
      </c>
      <c r="F130" s="3"/>
      <c r="G130" s="3" t="n">
        <v>29500</v>
      </c>
      <c r="H130" s="3"/>
      <c r="I130" s="4" t="str">
        <f aca="false">IF(H130="","",ROUND((H130-G130)/H130*100,0))</f>
        <v/>
      </c>
      <c r="J130" s="3" t="s">
        <v>19</v>
      </c>
      <c r="K130" s="3" t="s">
        <v>20</v>
      </c>
      <c r="L130" s="3"/>
      <c r="M130" s="5"/>
      <c r="N130" s="6" t="s">
        <v>541</v>
      </c>
    </row>
    <row r="131" customFormat="false" ht="26.85" hidden="false" customHeight="false" outlineLevel="0" collapsed="false">
      <c r="A131" s="2" t="s">
        <v>542</v>
      </c>
      <c r="B131" s="3" t="s">
        <v>543</v>
      </c>
      <c r="C131" s="3"/>
      <c r="D131" s="3" t="s">
        <v>544</v>
      </c>
      <c r="E131" s="3" t="s">
        <v>17</v>
      </c>
      <c r="F131" s="3" t="s">
        <v>545</v>
      </c>
      <c r="G131" s="3" t="n">
        <v>67300</v>
      </c>
      <c r="H131" s="3"/>
      <c r="I131" s="4" t="str">
        <f aca="false">IF(H131="","",ROUND((H131-G131)/H131*100,0))</f>
        <v/>
      </c>
      <c r="J131" s="3" t="s">
        <v>19</v>
      </c>
      <c r="K131" s="3" t="s">
        <v>20</v>
      </c>
      <c r="L131" s="3"/>
      <c r="M131" s="5"/>
      <c r="N131" s="6" t="s">
        <v>546</v>
      </c>
    </row>
    <row r="132" customFormat="false" ht="26.85" hidden="false" customHeight="false" outlineLevel="0" collapsed="false">
      <c r="A132" s="2" t="s">
        <v>547</v>
      </c>
      <c r="B132" s="3" t="s">
        <v>548</v>
      </c>
      <c r="C132" s="3"/>
      <c r="D132" s="3" t="s">
        <v>409</v>
      </c>
      <c r="E132" s="3" t="s">
        <v>17</v>
      </c>
      <c r="F132" s="3" t="s">
        <v>46</v>
      </c>
      <c r="G132" s="3" t="n">
        <v>38500</v>
      </c>
      <c r="H132" s="3"/>
      <c r="I132" s="4" t="str">
        <f aca="false">IF(H132="","",ROUND((H132-G132)/H132*100,0))</f>
        <v/>
      </c>
      <c r="J132" s="3" t="s">
        <v>19</v>
      </c>
      <c r="K132" s="3" t="s">
        <v>20</v>
      </c>
      <c r="L132" s="3"/>
      <c r="M132" s="5"/>
      <c r="N132" s="6" t="s">
        <v>549</v>
      </c>
    </row>
    <row r="133" customFormat="false" ht="26.85" hidden="false" customHeight="false" outlineLevel="0" collapsed="false">
      <c r="A133" s="2" t="s">
        <v>550</v>
      </c>
      <c r="B133" s="3" t="s">
        <v>551</v>
      </c>
      <c r="C133" s="3"/>
      <c r="D133" s="3" t="s">
        <v>552</v>
      </c>
      <c r="E133" s="3" t="s">
        <v>17</v>
      </c>
      <c r="F133" s="3"/>
      <c r="G133" s="3" t="n">
        <v>69000</v>
      </c>
      <c r="H133" s="3"/>
      <c r="I133" s="4" t="str">
        <f aca="false">IF(H133="","",ROUND((H133-G133)/H133*100,0))</f>
        <v/>
      </c>
      <c r="J133" s="3" t="s">
        <v>19</v>
      </c>
      <c r="K133" s="3" t="s">
        <v>20</v>
      </c>
      <c r="L133" s="3"/>
      <c r="M133" s="5"/>
      <c r="N133" s="6" t="s">
        <v>553</v>
      </c>
    </row>
    <row r="134" customFormat="false" ht="39.55" hidden="false" customHeight="false" outlineLevel="0" collapsed="false">
      <c r="A134" s="2" t="s">
        <v>554</v>
      </c>
      <c r="B134" s="3" t="s">
        <v>555</v>
      </c>
      <c r="C134" s="3" t="s">
        <v>556</v>
      </c>
      <c r="D134" s="3" t="s">
        <v>557</v>
      </c>
      <c r="E134" s="3" t="s">
        <v>17</v>
      </c>
      <c r="F134" s="3" t="s">
        <v>46</v>
      </c>
      <c r="G134" s="3" t="n">
        <v>68400</v>
      </c>
      <c r="H134" s="3"/>
      <c r="I134" s="4" t="str">
        <f aca="false">IF(H134="","",ROUND((H134-G134)/H134*100,0))</f>
        <v/>
      </c>
      <c r="J134" s="3" t="s">
        <v>19</v>
      </c>
      <c r="K134" s="3" t="s">
        <v>20</v>
      </c>
      <c r="L134" s="3"/>
      <c r="M134" s="5"/>
      <c r="N134" s="6" t="s">
        <v>558</v>
      </c>
    </row>
    <row r="135" customFormat="false" ht="26.85" hidden="false" customHeight="false" outlineLevel="0" collapsed="false">
      <c r="A135" s="2" t="s">
        <v>559</v>
      </c>
      <c r="B135" s="3" t="s">
        <v>560</v>
      </c>
      <c r="C135" s="3" t="s">
        <v>556</v>
      </c>
      <c r="D135" s="3" t="s">
        <v>561</v>
      </c>
      <c r="E135" s="3" t="s">
        <v>17</v>
      </c>
      <c r="F135" s="3" t="s">
        <v>46</v>
      </c>
      <c r="G135" s="3" t="n">
        <v>29900</v>
      </c>
      <c r="H135" s="3"/>
      <c r="I135" s="4" t="str">
        <f aca="false">IF(H135="","",ROUND((H135-G135)/H135*100,0))</f>
        <v/>
      </c>
      <c r="J135" s="3" t="s">
        <v>19</v>
      </c>
      <c r="K135" s="3" t="s">
        <v>20</v>
      </c>
      <c r="L135" s="3"/>
      <c r="M135" s="5"/>
      <c r="N135" s="6" t="s">
        <v>562</v>
      </c>
    </row>
    <row r="136" customFormat="false" ht="26.85" hidden="false" customHeight="false" outlineLevel="0" collapsed="false">
      <c r="A136" s="2" t="s">
        <v>563</v>
      </c>
      <c r="B136" s="3" t="s">
        <v>564</v>
      </c>
      <c r="C136" s="3"/>
      <c r="D136" s="3"/>
      <c r="E136" s="3" t="s">
        <v>25</v>
      </c>
      <c r="F136" s="3" t="s">
        <v>26</v>
      </c>
      <c r="G136" s="3" t="n">
        <v>94500</v>
      </c>
      <c r="H136" s="3"/>
      <c r="I136" s="4" t="str">
        <f aca="false">IF(H136="","",ROUND((H136-G136)/H136*100,0))</f>
        <v/>
      </c>
      <c r="J136" s="3" t="s">
        <v>19</v>
      </c>
      <c r="K136" s="3" t="s">
        <v>20</v>
      </c>
      <c r="L136" s="3"/>
      <c r="M136" s="5"/>
      <c r="N136" s="6" t="s">
        <v>565</v>
      </c>
    </row>
    <row r="137" customFormat="false" ht="26.85" hidden="false" customHeight="false" outlineLevel="0" collapsed="false">
      <c r="A137" s="2" t="s">
        <v>566</v>
      </c>
      <c r="B137" s="3" t="s">
        <v>567</v>
      </c>
      <c r="C137" s="3"/>
      <c r="D137" s="3" t="s">
        <v>568</v>
      </c>
      <c r="E137" s="3" t="s">
        <v>25</v>
      </c>
      <c r="F137" s="3"/>
      <c r="G137" s="3" t="n">
        <v>26500</v>
      </c>
      <c r="H137" s="3"/>
      <c r="I137" s="4" t="str">
        <f aca="false">IF(H137="","",ROUND((H137-G137)/H137*100,0))</f>
        <v/>
      </c>
      <c r="J137" s="3" t="s">
        <v>19</v>
      </c>
      <c r="K137" s="3" t="s">
        <v>20</v>
      </c>
      <c r="L137" s="3"/>
      <c r="M137" s="5"/>
      <c r="N137" s="6" t="s">
        <v>569</v>
      </c>
    </row>
    <row r="138" customFormat="false" ht="26.85" hidden="false" customHeight="false" outlineLevel="0" collapsed="false">
      <c r="A138" s="2" t="s">
        <v>570</v>
      </c>
      <c r="B138" s="3" t="s">
        <v>571</v>
      </c>
      <c r="C138" s="3" t="s">
        <v>572</v>
      </c>
      <c r="D138" s="3" t="s">
        <v>437</v>
      </c>
      <c r="E138" s="3" t="s">
        <v>36</v>
      </c>
      <c r="F138" s="3" t="s">
        <v>18</v>
      </c>
      <c r="G138" s="3" t="n">
        <v>27000</v>
      </c>
      <c r="H138" s="3"/>
      <c r="I138" s="4" t="str">
        <f aca="false">IF(H138="","",ROUND((H138-G138)/H138*100,0))</f>
        <v/>
      </c>
      <c r="J138" s="3" t="s">
        <v>19</v>
      </c>
      <c r="K138" s="3" t="s">
        <v>20</v>
      </c>
      <c r="L138" s="3"/>
      <c r="M138" s="5"/>
      <c r="N138" s="6" t="s">
        <v>573</v>
      </c>
    </row>
    <row r="139" customFormat="false" ht="26.85" hidden="false" customHeight="false" outlineLevel="0" collapsed="false">
      <c r="A139" s="2" t="s">
        <v>574</v>
      </c>
      <c r="B139" s="3" t="s">
        <v>575</v>
      </c>
      <c r="C139" s="3"/>
      <c r="D139" s="3" t="s">
        <v>544</v>
      </c>
      <c r="E139" s="3" t="s">
        <v>17</v>
      </c>
      <c r="F139" s="3"/>
      <c r="G139" s="3" t="n">
        <v>25700</v>
      </c>
      <c r="H139" s="3"/>
      <c r="I139" s="4" t="str">
        <f aca="false">IF(H139="","",ROUND((H139-G139)/H139*100,0))</f>
        <v/>
      </c>
      <c r="J139" s="3" t="s">
        <v>19</v>
      </c>
      <c r="K139" s="3" t="s">
        <v>20</v>
      </c>
      <c r="L139" s="3"/>
      <c r="M139" s="5"/>
      <c r="N139" s="6" t="s">
        <v>576</v>
      </c>
    </row>
    <row r="140" customFormat="false" ht="26.85" hidden="false" customHeight="false" outlineLevel="0" collapsed="false">
      <c r="A140" s="2" t="s">
        <v>577</v>
      </c>
      <c r="B140" s="3" t="s">
        <v>578</v>
      </c>
      <c r="C140" s="3"/>
      <c r="D140" s="3" t="s">
        <v>579</v>
      </c>
      <c r="E140" s="3" t="s">
        <v>17</v>
      </c>
      <c r="F140" s="3" t="s">
        <v>161</v>
      </c>
      <c r="G140" s="3" t="n">
        <v>14500</v>
      </c>
      <c r="H140" s="3"/>
      <c r="I140" s="4" t="str">
        <f aca="false">IF(H140="","",ROUND((H140-G140)/H140*100,0))</f>
        <v/>
      </c>
      <c r="J140" s="3" t="s">
        <v>19</v>
      </c>
      <c r="K140" s="3" t="s">
        <v>20</v>
      </c>
      <c r="L140" s="3"/>
      <c r="M140" s="5"/>
      <c r="N140" s="6" t="s">
        <v>580</v>
      </c>
    </row>
    <row r="141" customFormat="false" ht="26.85" hidden="false" customHeight="false" outlineLevel="0" collapsed="false">
      <c r="A141" s="2" t="s">
        <v>581</v>
      </c>
      <c r="B141" s="3" t="s">
        <v>582</v>
      </c>
      <c r="C141" s="3"/>
      <c r="D141" s="3" t="s">
        <v>583</v>
      </c>
      <c r="E141" s="3" t="s">
        <v>17</v>
      </c>
      <c r="F141" s="3" t="s">
        <v>161</v>
      </c>
      <c r="G141" s="3" t="n">
        <v>38500</v>
      </c>
      <c r="H141" s="3"/>
      <c r="I141" s="4" t="str">
        <f aca="false">IF(H141="","",ROUND((H141-G141)/H141*100,0))</f>
        <v/>
      </c>
      <c r="J141" s="3" t="s">
        <v>19</v>
      </c>
      <c r="K141" s="3" t="s">
        <v>20</v>
      </c>
      <c r="L141" s="3"/>
      <c r="M141" s="5"/>
      <c r="N141" s="6" t="s">
        <v>584</v>
      </c>
    </row>
    <row r="142" customFormat="false" ht="26.85" hidden="false" customHeight="false" outlineLevel="0" collapsed="false">
      <c r="A142" s="2" t="s">
        <v>585</v>
      </c>
      <c r="B142" s="3" t="s">
        <v>586</v>
      </c>
      <c r="C142" s="3"/>
      <c r="D142" s="3" t="s">
        <v>587</v>
      </c>
      <c r="E142" s="3" t="s">
        <v>25</v>
      </c>
      <c r="F142" s="3"/>
      <c r="G142" s="3" t="n">
        <v>39000</v>
      </c>
      <c r="H142" s="3" t="n">
        <v>52650</v>
      </c>
      <c r="I142" s="4" t="n">
        <f aca="false">IF(H142="","",ROUND((H142-G142)/H142*100,0))</f>
        <v>26</v>
      </c>
      <c r="J142" s="3" t="s">
        <v>19</v>
      </c>
      <c r="K142" s="3" t="s">
        <v>20</v>
      </c>
      <c r="L142" s="3"/>
      <c r="M142" s="5"/>
      <c r="N142" s="6" t="s">
        <v>588</v>
      </c>
    </row>
    <row r="143" customFormat="false" ht="26.85" hidden="false" customHeight="false" outlineLevel="0" collapsed="false">
      <c r="A143" s="2" t="s">
        <v>589</v>
      </c>
      <c r="B143" s="3" t="s">
        <v>590</v>
      </c>
      <c r="C143" s="3"/>
      <c r="D143" s="3" t="s">
        <v>591</v>
      </c>
      <c r="E143" s="3" t="s">
        <v>17</v>
      </c>
      <c r="F143" s="3" t="s">
        <v>18</v>
      </c>
      <c r="G143" s="3" t="n">
        <v>37000</v>
      </c>
      <c r="H143" s="3"/>
      <c r="I143" s="4" t="str">
        <f aca="false">IF(H143="","",ROUND((H143-G143)/H143*100,0))</f>
        <v/>
      </c>
      <c r="J143" s="3" t="s">
        <v>19</v>
      </c>
      <c r="K143" s="3" t="s">
        <v>20</v>
      </c>
      <c r="L143" s="3"/>
      <c r="M143" s="5"/>
      <c r="N143" s="6" t="s">
        <v>592</v>
      </c>
    </row>
    <row r="144" customFormat="false" ht="26.85" hidden="false" customHeight="false" outlineLevel="0" collapsed="false">
      <c r="A144" s="2" t="s">
        <v>593</v>
      </c>
      <c r="B144" s="3" t="s">
        <v>594</v>
      </c>
      <c r="C144" s="3"/>
      <c r="D144" s="3" t="s">
        <v>595</v>
      </c>
      <c r="E144" s="3" t="s">
        <v>17</v>
      </c>
      <c r="F144" s="3" t="s">
        <v>18</v>
      </c>
      <c r="G144" s="3" t="n">
        <v>68500</v>
      </c>
      <c r="H144" s="3"/>
      <c r="I144" s="4" t="str">
        <f aca="false">IF(H144="","",ROUND((H144-G144)/H144*100,0))</f>
        <v/>
      </c>
      <c r="J144" s="3" t="s">
        <v>19</v>
      </c>
      <c r="K144" s="3" t="s">
        <v>20</v>
      </c>
      <c r="L144" s="3"/>
      <c r="M144" s="5"/>
      <c r="N144" s="6" t="s">
        <v>596</v>
      </c>
    </row>
    <row r="145" customFormat="false" ht="26.85" hidden="false" customHeight="false" outlineLevel="0" collapsed="false">
      <c r="A145" s="2" t="s">
        <v>597</v>
      </c>
      <c r="B145" s="3" t="s">
        <v>598</v>
      </c>
      <c r="C145" s="3"/>
      <c r="D145" s="3"/>
      <c r="E145" s="3" t="s">
        <v>25</v>
      </c>
      <c r="F145" s="3" t="s">
        <v>26</v>
      </c>
      <c r="G145" s="3" t="n">
        <v>21400</v>
      </c>
      <c r="H145" s="3"/>
      <c r="I145" s="4" t="str">
        <f aca="false">IF(H145="","",ROUND((H145-G145)/H145*100,0))</f>
        <v/>
      </c>
      <c r="J145" s="3" t="s">
        <v>19</v>
      </c>
      <c r="K145" s="3" t="s">
        <v>20</v>
      </c>
      <c r="L145" s="3"/>
      <c r="M145" s="5"/>
      <c r="N145" s="6" t="s">
        <v>599</v>
      </c>
    </row>
    <row r="146" customFormat="false" ht="26.85" hidden="false" customHeight="false" outlineLevel="0" collapsed="false">
      <c r="A146" s="2" t="s">
        <v>600</v>
      </c>
      <c r="B146" s="3" t="s">
        <v>601</v>
      </c>
      <c r="C146" s="3"/>
      <c r="D146" s="3" t="s">
        <v>602</v>
      </c>
      <c r="E146" s="3" t="s">
        <v>17</v>
      </c>
      <c r="F146" s="3"/>
      <c r="G146" s="3" t="n">
        <v>14500</v>
      </c>
      <c r="H146" s="3"/>
      <c r="I146" s="4" t="str">
        <f aca="false">IF(H146="","",ROUND((H146-G146)/H146*100,0))</f>
        <v/>
      </c>
      <c r="J146" s="3" t="s">
        <v>19</v>
      </c>
      <c r="K146" s="3" t="s">
        <v>20</v>
      </c>
      <c r="L146" s="3"/>
      <c r="M146" s="5"/>
      <c r="N146" s="6" t="s">
        <v>603</v>
      </c>
    </row>
    <row r="147" customFormat="false" ht="26.85" hidden="false" customHeight="false" outlineLevel="0" collapsed="false">
      <c r="A147" s="2" t="s">
        <v>604</v>
      </c>
      <c r="B147" s="3" t="s">
        <v>605</v>
      </c>
      <c r="C147" s="3"/>
      <c r="D147" s="3" t="s">
        <v>606</v>
      </c>
      <c r="E147" s="3" t="s">
        <v>17</v>
      </c>
      <c r="F147" s="3"/>
      <c r="G147" s="3" t="n">
        <v>84500</v>
      </c>
      <c r="H147" s="3"/>
      <c r="I147" s="4" t="str">
        <f aca="false">IF(H147="","",ROUND((H147-G147)/H147*100,0))</f>
        <v/>
      </c>
      <c r="J147" s="3" t="s">
        <v>19</v>
      </c>
      <c r="K147" s="3" t="s">
        <v>20</v>
      </c>
      <c r="L147" s="3"/>
      <c r="M147" s="5"/>
      <c r="N147" s="6" t="s">
        <v>607</v>
      </c>
    </row>
    <row r="148" customFormat="false" ht="26.85" hidden="false" customHeight="false" outlineLevel="0" collapsed="false">
      <c r="A148" s="2" t="s">
        <v>608</v>
      </c>
      <c r="B148" s="3" t="s">
        <v>609</v>
      </c>
      <c r="C148" s="3" t="s">
        <v>610</v>
      </c>
      <c r="D148" s="3" t="s">
        <v>449</v>
      </c>
      <c r="E148" s="3" t="s">
        <v>17</v>
      </c>
      <c r="F148" s="3" t="s">
        <v>83</v>
      </c>
      <c r="G148" s="3" t="n">
        <v>35900</v>
      </c>
      <c r="H148" s="3"/>
      <c r="I148" s="4" t="str">
        <f aca="false">IF(H148="","",ROUND((H148-G148)/H148*100,0))</f>
        <v/>
      </c>
      <c r="J148" s="3" t="s">
        <v>19</v>
      </c>
      <c r="K148" s="3" t="s">
        <v>20</v>
      </c>
      <c r="L148" s="3"/>
      <c r="M148" s="5"/>
      <c r="N148" s="6" t="s">
        <v>611</v>
      </c>
    </row>
    <row r="149" customFormat="false" ht="26.85" hidden="false" customHeight="false" outlineLevel="0" collapsed="false">
      <c r="A149" s="2" t="s">
        <v>612</v>
      </c>
      <c r="B149" s="3" t="s">
        <v>613</v>
      </c>
      <c r="C149" s="3"/>
      <c r="D149" s="3" t="s">
        <v>614</v>
      </c>
      <c r="E149" s="3" t="s">
        <v>17</v>
      </c>
      <c r="F149" s="3"/>
      <c r="G149" s="3" t="n">
        <v>68400</v>
      </c>
      <c r="H149" s="3"/>
      <c r="I149" s="4" t="str">
        <f aca="false">IF(H149="","",ROUND((H149-G149)/H149*100,0))</f>
        <v/>
      </c>
      <c r="J149" s="3" t="s">
        <v>19</v>
      </c>
      <c r="K149" s="3" t="s">
        <v>20</v>
      </c>
      <c r="L149" s="3"/>
      <c r="M149" s="5"/>
      <c r="N149" s="6" t="s">
        <v>615</v>
      </c>
    </row>
    <row r="150" customFormat="false" ht="26.85" hidden="false" customHeight="false" outlineLevel="0" collapsed="false">
      <c r="A150" s="2" t="s">
        <v>616</v>
      </c>
      <c r="B150" s="3" t="s">
        <v>617</v>
      </c>
      <c r="C150" s="3"/>
      <c r="D150" s="3" t="s">
        <v>618</v>
      </c>
      <c r="E150" s="3" t="s">
        <v>25</v>
      </c>
      <c r="F150" s="3"/>
      <c r="G150" s="3" t="n">
        <v>48900</v>
      </c>
      <c r="H150" s="3"/>
      <c r="I150" s="4" t="str">
        <f aca="false">IF(H150="","",ROUND((H150-G150)/H150*100,0))</f>
        <v/>
      </c>
      <c r="J150" s="3" t="s">
        <v>19</v>
      </c>
      <c r="K150" s="3" t="s">
        <v>20</v>
      </c>
      <c r="L150" s="3"/>
      <c r="M150" s="5"/>
      <c r="N150" s="6" t="s">
        <v>619</v>
      </c>
    </row>
    <row r="151" customFormat="false" ht="26.85" hidden="false" customHeight="false" outlineLevel="0" collapsed="false">
      <c r="A151" s="2" t="s">
        <v>620</v>
      </c>
      <c r="B151" s="3" t="s">
        <v>621</v>
      </c>
      <c r="C151" s="3"/>
      <c r="D151" s="3" t="s">
        <v>622</v>
      </c>
      <c r="E151" s="3" t="s">
        <v>17</v>
      </c>
      <c r="F151" s="3"/>
      <c r="G151" s="3" t="n">
        <v>44500</v>
      </c>
      <c r="H151" s="3"/>
      <c r="I151" s="4" t="str">
        <f aca="false">IF(H151="","",ROUND((H151-G151)/H151*100,0))</f>
        <v/>
      </c>
      <c r="J151" s="3" t="s">
        <v>19</v>
      </c>
      <c r="K151" s="3" t="s">
        <v>20</v>
      </c>
      <c r="L151" s="3"/>
      <c r="M151" s="5"/>
      <c r="N151" s="6" t="s">
        <v>623</v>
      </c>
    </row>
    <row r="152" customFormat="false" ht="26.85" hidden="false" customHeight="false" outlineLevel="0" collapsed="false">
      <c r="A152" s="2" t="s">
        <v>624</v>
      </c>
      <c r="B152" s="3" t="s">
        <v>625</v>
      </c>
      <c r="C152" s="3"/>
      <c r="D152" s="3"/>
      <c r="E152" s="3" t="s">
        <v>325</v>
      </c>
      <c r="F152" s="3"/>
      <c r="G152" s="3" t="n">
        <v>16300</v>
      </c>
      <c r="H152" s="3"/>
      <c r="I152" s="4" t="str">
        <f aca="false">IF(H152="","",ROUND((H152-G152)/H152*100,0))</f>
        <v/>
      </c>
      <c r="J152" s="3" t="s">
        <v>19</v>
      </c>
      <c r="K152" s="3" t="s">
        <v>20</v>
      </c>
      <c r="L152" s="3"/>
      <c r="M152" s="5"/>
      <c r="N152" s="6" t="s">
        <v>626</v>
      </c>
    </row>
    <row r="153" customFormat="false" ht="26.85" hidden="false" customHeight="false" outlineLevel="0" collapsed="false">
      <c r="A153" s="2" t="s">
        <v>627</v>
      </c>
      <c r="B153" s="3" t="s">
        <v>628</v>
      </c>
      <c r="C153" s="3"/>
      <c r="D153" s="3" t="s">
        <v>629</v>
      </c>
      <c r="E153" s="3" t="s">
        <v>17</v>
      </c>
      <c r="F153" s="3"/>
      <c r="G153" s="3" t="n">
        <v>13500</v>
      </c>
      <c r="H153" s="3"/>
      <c r="I153" s="4" t="str">
        <f aca="false">IF(H153="","",ROUND((H153-G153)/H153*100,0))</f>
        <v/>
      </c>
      <c r="J153" s="3" t="s">
        <v>19</v>
      </c>
      <c r="K153" s="3" t="s">
        <v>20</v>
      </c>
      <c r="L153" s="3"/>
      <c r="M153" s="5"/>
      <c r="N153" s="6" t="s">
        <v>630</v>
      </c>
    </row>
    <row r="154" customFormat="false" ht="26.85" hidden="false" customHeight="false" outlineLevel="0" collapsed="false">
      <c r="A154" s="2" t="s">
        <v>631</v>
      </c>
      <c r="B154" s="3" t="s">
        <v>632</v>
      </c>
      <c r="C154" s="3"/>
      <c r="D154" s="3" t="s">
        <v>633</v>
      </c>
      <c r="E154" s="3" t="s">
        <v>17</v>
      </c>
      <c r="F154" s="3"/>
      <c r="G154" s="3" t="n">
        <v>26500</v>
      </c>
      <c r="H154" s="3"/>
      <c r="I154" s="4" t="str">
        <f aca="false">IF(H154="","",ROUND((H154-G154)/H154*100,0))</f>
        <v/>
      </c>
      <c r="J154" s="3" t="s">
        <v>19</v>
      </c>
      <c r="K154" s="3" t="s">
        <v>20</v>
      </c>
      <c r="L154" s="3"/>
      <c r="M154" s="5"/>
      <c r="N154" s="6" t="s">
        <v>634</v>
      </c>
    </row>
    <row r="155" customFormat="false" ht="26.85" hidden="false" customHeight="false" outlineLevel="0" collapsed="false">
      <c r="A155" s="2" t="s">
        <v>635</v>
      </c>
      <c r="B155" s="3" t="s">
        <v>636</v>
      </c>
      <c r="C155" s="3"/>
      <c r="D155" s="3" t="s">
        <v>622</v>
      </c>
      <c r="E155" s="3" t="s">
        <v>17</v>
      </c>
      <c r="F155" s="3"/>
      <c r="G155" s="3" t="n">
        <v>11500</v>
      </c>
      <c r="H155" s="3"/>
      <c r="I155" s="4" t="str">
        <f aca="false">IF(H155="","",ROUND((H155-G155)/H155*100,0))</f>
        <v/>
      </c>
      <c r="J155" s="3" t="s">
        <v>19</v>
      </c>
      <c r="K155" s="3" t="s">
        <v>20</v>
      </c>
      <c r="L155" s="3"/>
      <c r="M155" s="5"/>
      <c r="N155" s="6" t="s">
        <v>637</v>
      </c>
    </row>
    <row r="156" customFormat="false" ht="26.85" hidden="false" customHeight="false" outlineLevel="0" collapsed="false">
      <c r="A156" s="2" t="s">
        <v>638</v>
      </c>
      <c r="B156" s="3" t="s">
        <v>639</v>
      </c>
      <c r="C156" s="3"/>
      <c r="D156" s="3" t="s">
        <v>640</v>
      </c>
      <c r="E156" s="3" t="s">
        <v>17</v>
      </c>
      <c r="F156" s="3"/>
      <c r="G156" s="3" t="n">
        <v>21000</v>
      </c>
      <c r="H156" s="3"/>
      <c r="I156" s="4" t="str">
        <f aca="false">IF(H156="","",ROUND((H156-G156)/H156*100,0))</f>
        <v/>
      </c>
      <c r="J156" s="3" t="s">
        <v>19</v>
      </c>
      <c r="K156" s="3" t="s">
        <v>20</v>
      </c>
      <c r="L156" s="3"/>
      <c r="M156" s="5"/>
      <c r="N156" s="6" t="s">
        <v>641</v>
      </c>
    </row>
    <row r="157" customFormat="false" ht="26.85" hidden="false" customHeight="false" outlineLevel="0" collapsed="false">
      <c r="A157" s="2" t="s">
        <v>642</v>
      </c>
      <c r="B157" s="3" t="s">
        <v>643</v>
      </c>
      <c r="C157" s="3" t="s">
        <v>644</v>
      </c>
      <c r="D157" s="3" t="s">
        <v>645</v>
      </c>
      <c r="E157" s="3" t="s">
        <v>17</v>
      </c>
      <c r="F157" s="3" t="s">
        <v>46</v>
      </c>
      <c r="G157" s="3" t="n">
        <v>139300</v>
      </c>
      <c r="H157" s="3"/>
      <c r="I157" s="4" t="str">
        <f aca="false">IF(H157="","",ROUND((H157-G157)/H157*100,0))</f>
        <v/>
      </c>
      <c r="J157" s="3" t="s">
        <v>19</v>
      </c>
      <c r="K157" s="3" t="s">
        <v>20</v>
      </c>
      <c r="L157" s="3"/>
      <c r="M157" s="5"/>
      <c r="N157" s="6" t="s">
        <v>646</v>
      </c>
    </row>
    <row r="158" customFormat="false" ht="26.85" hidden="false" customHeight="false" outlineLevel="0" collapsed="false">
      <c r="A158" s="2" t="s">
        <v>647</v>
      </c>
      <c r="B158" s="3" t="s">
        <v>648</v>
      </c>
      <c r="C158" s="3" t="s">
        <v>644</v>
      </c>
      <c r="D158" s="3" t="s">
        <v>115</v>
      </c>
      <c r="E158" s="3" t="s">
        <v>17</v>
      </c>
      <c r="F158" s="3" t="s">
        <v>46</v>
      </c>
      <c r="G158" s="3" t="n">
        <v>127100</v>
      </c>
      <c r="H158" s="3"/>
      <c r="I158" s="4" t="str">
        <f aca="false">IF(H158="","",ROUND((H158-G158)/H158*100,0))</f>
        <v/>
      </c>
      <c r="J158" s="3" t="s">
        <v>19</v>
      </c>
      <c r="K158" s="3" t="s">
        <v>20</v>
      </c>
      <c r="L158" s="3"/>
      <c r="M158" s="5"/>
      <c r="N158" s="6" t="s">
        <v>649</v>
      </c>
    </row>
    <row r="159" customFormat="false" ht="39.55" hidden="false" customHeight="false" outlineLevel="0" collapsed="false">
      <c r="A159" s="2" t="s">
        <v>650</v>
      </c>
      <c r="B159" s="3" t="s">
        <v>651</v>
      </c>
      <c r="C159" s="3" t="s">
        <v>644</v>
      </c>
      <c r="D159" s="3" t="s">
        <v>195</v>
      </c>
      <c r="E159" s="3" t="s">
        <v>17</v>
      </c>
      <c r="F159" s="3" t="s">
        <v>46</v>
      </c>
      <c r="G159" s="3" t="n">
        <v>71900</v>
      </c>
      <c r="H159" s="3"/>
      <c r="I159" s="4" t="str">
        <f aca="false">IF(H159="","",ROUND((H159-G159)/H159*100,0))</f>
        <v/>
      </c>
      <c r="J159" s="3" t="s">
        <v>19</v>
      </c>
      <c r="K159" s="3" t="s">
        <v>20</v>
      </c>
      <c r="L159" s="3"/>
      <c r="M159" s="5"/>
      <c r="N159" s="6" t="s">
        <v>652</v>
      </c>
    </row>
    <row r="160" customFormat="false" ht="26.85" hidden="false" customHeight="false" outlineLevel="0" collapsed="false">
      <c r="A160" s="2" t="s">
        <v>653</v>
      </c>
      <c r="B160" s="3" t="s">
        <v>654</v>
      </c>
      <c r="C160" s="3" t="s">
        <v>644</v>
      </c>
      <c r="D160" s="3" t="s">
        <v>655</v>
      </c>
      <c r="E160" s="3" t="s">
        <v>17</v>
      </c>
      <c r="F160" s="3" t="s">
        <v>46</v>
      </c>
      <c r="G160" s="3" t="n">
        <v>16500</v>
      </c>
      <c r="H160" s="3"/>
      <c r="I160" s="4" t="str">
        <f aca="false">IF(H160="","",ROUND((H160-G160)/H160*100,0))</f>
        <v/>
      </c>
      <c r="J160" s="3" t="s">
        <v>19</v>
      </c>
      <c r="K160" s="3" t="s">
        <v>20</v>
      </c>
      <c r="L160" s="3"/>
      <c r="M160" s="5"/>
      <c r="N160" s="6" t="s">
        <v>656</v>
      </c>
    </row>
    <row r="161" customFormat="false" ht="26.85" hidden="false" customHeight="false" outlineLevel="0" collapsed="false">
      <c r="A161" s="2" t="s">
        <v>657</v>
      </c>
      <c r="B161" s="3" t="s">
        <v>658</v>
      </c>
      <c r="C161" s="3" t="s">
        <v>644</v>
      </c>
      <c r="D161" s="3" t="s">
        <v>659</v>
      </c>
      <c r="E161" s="3" t="s">
        <v>36</v>
      </c>
      <c r="F161" s="3" t="s">
        <v>46</v>
      </c>
      <c r="G161" s="3" t="n">
        <v>11900</v>
      </c>
      <c r="H161" s="3"/>
      <c r="I161" s="4" t="str">
        <f aca="false">IF(H161="","",ROUND((H161-G161)/H161*100,0))</f>
        <v/>
      </c>
      <c r="J161" s="3" t="s">
        <v>19</v>
      </c>
      <c r="K161" s="3" t="s">
        <v>20</v>
      </c>
      <c r="L161" s="3"/>
      <c r="M161" s="5"/>
      <c r="N161" s="6" t="s">
        <v>660</v>
      </c>
    </row>
    <row r="162" customFormat="false" ht="26.85" hidden="false" customHeight="false" outlineLevel="0" collapsed="false">
      <c r="A162" s="2" t="s">
        <v>661</v>
      </c>
      <c r="B162" s="3" t="s">
        <v>662</v>
      </c>
      <c r="C162" s="3" t="s">
        <v>644</v>
      </c>
      <c r="D162" s="3" t="s">
        <v>663</v>
      </c>
      <c r="E162" s="3" t="s">
        <v>17</v>
      </c>
      <c r="F162" s="3" t="s">
        <v>46</v>
      </c>
      <c r="G162" s="3" t="n">
        <v>22500</v>
      </c>
      <c r="H162" s="3"/>
      <c r="I162" s="4" t="str">
        <f aca="false">IF(H162="","",ROUND((H162-G162)/H162*100,0))</f>
        <v/>
      </c>
      <c r="J162" s="3" t="s">
        <v>19</v>
      </c>
      <c r="K162" s="3" t="s">
        <v>20</v>
      </c>
      <c r="L162" s="3"/>
      <c r="M162" s="5"/>
      <c r="N162" s="6" t="s">
        <v>664</v>
      </c>
    </row>
    <row r="163" customFormat="false" ht="26.85" hidden="false" customHeight="false" outlineLevel="0" collapsed="false">
      <c r="A163" s="2" t="s">
        <v>665</v>
      </c>
      <c r="B163" s="3" t="s">
        <v>666</v>
      </c>
      <c r="C163" s="3"/>
      <c r="D163" s="3" t="s">
        <v>544</v>
      </c>
      <c r="E163" s="3" t="s">
        <v>17</v>
      </c>
      <c r="F163" s="3"/>
      <c r="G163" s="3" t="n">
        <v>21700</v>
      </c>
      <c r="H163" s="3"/>
      <c r="I163" s="4" t="str">
        <f aca="false">IF(H163="","",ROUND((H163-G163)/H163*100,0))</f>
        <v/>
      </c>
      <c r="J163" s="3" t="s">
        <v>19</v>
      </c>
      <c r="K163" s="3" t="s">
        <v>20</v>
      </c>
      <c r="L163" s="3"/>
      <c r="M163" s="5"/>
      <c r="N163" s="6" t="s">
        <v>667</v>
      </c>
    </row>
    <row r="164" customFormat="false" ht="26.85" hidden="false" customHeight="false" outlineLevel="0" collapsed="false">
      <c r="A164" s="2" t="s">
        <v>668</v>
      </c>
      <c r="B164" s="3" t="s">
        <v>669</v>
      </c>
      <c r="C164" s="3" t="s">
        <v>670</v>
      </c>
      <c r="D164" s="3" t="s">
        <v>671</v>
      </c>
      <c r="E164" s="3" t="s">
        <v>25</v>
      </c>
      <c r="F164" s="3" t="s">
        <v>672</v>
      </c>
      <c r="G164" s="3" t="n">
        <v>66500</v>
      </c>
      <c r="H164" s="3"/>
      <c r="I164" s="4" t="str">
        <f aca="false">IF(H164="","",ROUND((H164-G164)/H164*100,0))</f>
        <v/>
      </c>
      <c r="J164" s="3" t="s">
        <v>19</v>
      </c>
      <c r="K164" s="3" t="s">
        <v>20</v>
      </c>
      <c r="L164" s="3"/>
      <c r="M164" s="5"/>
      <c r="N164" s="6" t="s">
        <v>673</v>
      </c>
    </row>
    <row r="165" customFormat="false" ht="26.85" hidden="false" customHeight="false" outlineLevel="0" collapsed="false">
      <c r="A165" s="2" t="s">
        <v>674</v>
      </c>
      <c r="B165" s="3" t="s">
        <v>675</v>
      </c>
      <c r="C165" s="3" t="s">
        <v>670</v>
      </c>
      <c r="D165" s="3" t="s">
        <v>223</v>
      </c>
      <c r="E165" s="3" t="s">
        <v>25</v>
      </c>
      <c r="F165" s="3" t="s">
        <v>672</v>
      </c>
      <c r="G165" s="3" t="n">
        <v>68500</v>
      </c>
      <c r="H165" s="3"/>
      <c r="I165" s="4" t="str">
        <f aca="false">IF(H165="","",ROUND((H165-G165)/H165*100,0))</f>
        <v/>
      </c>
      <c r="J165" s="3" t="s">
        <v>19</v>
      </c>
      <c r="K165" s="3" t="s">
        <v>20</v>
      </c>
      <c r="L165" s="3"/>
      <c r="M165" s="5"/>
      <c r="N165" s="6" t="s">
        <v>676</v>
      </c>
    </row>
    <row r="166" customFormat="false" ht="26.85" hidden="false" customHeight="false" outlineLevel="0" collapsed="false">
      <c r="A166" s="2" t="s">
        <v>677</v>
      </c>
      <c r="B166" s="3" t="s">
        <v>678</v>
      </c>
      <c r="C166" s="3"/>
      <c r="D166" s="3" t="s">
        <v>679</v>
      </c>
      <c r="E166" s="3" t="s">
        <v>17</v>
      </c>
      <c r="F166" s="3"/>
      <c r="G166" s="3" t="n">
        <v>15200</v>
      </c>
      <c r="H166" s="3"/>
      <c r="I166" s="4" t="str">
        <f aca="false">IF(H166="","",ROUND((H166-G166)/H166*100,0))</f>
        <v/>
      </c>
      <c r="J166" s="3" t="s">
        <v>19</v>
      </c>
      <c r="K166" s="3" t="s">
        <v>20</v>
      </c>
      <c r="L166" s="3"/>
      <c r="M166" s="5"/>
      <c r="N166" s="6" t="s">
        <v>680</v>
      </c>
    </row>
    <row r="167" customFormat="false" ht="26.85" hidden="false" customHeight="false" outlineLevel="0" collapsed="false">
      <c r="A167" s="2" t="s">
        <v>681</v>
      </c>
      <c r="B167" s="3" t="s">
        <v>682</v>
      </c>
      <c r="C167" s="3"/>
      <c r="D167" s="3" t="s">
        <v>683</v>
      </c>
      <c r="E167" s="3" t="s">
        <v>17</v>
      </c>
      <c r="F167" s="3" t="s">
        <v>684</v>
      </c>
      <c r="G167" s="3" t="n">
        <v>9500</v>
      </c>
      <c r="H167" s="3"/>
      <c r="I167" s="4" t="str">
        <f aca="false">IF(H167="","",ROUND((H167-G167)/H167*100,0))</f>
        <v/>
      </c>
      <c r="J167" s="3" t="s">
        <v>19</v>
      </c>
      <c r="K167" s="3" t="s">
        <v>20</v>
      </c>
      <c r="L167" s="3"/>
      <c r="M167" s="5"/>
      <c r="N167" s="6" t="s">
        <v>685</v>
      </c>
    </row>
    <row r="168" customFormat="false" ht="26.85" hidden="false" customHeight="false" outlineLevel="0" collapsed="false">
      <c r="A168" s="2" t="s">
        <v>686</v>
      </c>
      <c r="B168" s="3" t="s">
        <v>687</v>
      </c>
      <c r="C168" s="3"/>
      <c r="D168" s="3" t="s">
        <v>688</v>
      </c>
      <c r="E168" s="3" t="s">
        <v>17</v>
      </c>
      <c r="F168" s="3" t="s">
        <v>684</v>
      </c>
      <c r="G168" s="3" t="n">
        <v>14500</v>
      </c>
      <c r="H168" s="3"/>
      <c r="I168" s="4" t="str">
        <f aca="false">IF(H168="","",ROUND((H168-G168)/H168*100,0))</f>
        <v/>
      </c>
      <c r="J168" s="3" t="s">
        <v>19</v>
      </c>
      <c r="K168" s="3" t="s">
        <v>20</v>
      </c>
      <c r="L168" s="3"/>
      <c r="M168" s="5"/>
      <c r="N168" s="6" t="s">
        <v>689</v>
      </c>
    </row>
    <row r="169" customFormat="false" ht="26.85" hidden="false" customHeight="false" outlineLevel="0" collapsed="false">
      <c r="A169" s="2" t="s">
        <v>690</v>
      </c>
      <c r="B169" s="3" t="s">
        <v>691</v>
      </c>
      <c r="C169" s="3"/>
      <c r="D169" s="3" t="s">
        <v>203</v>
      </c>
      <c r="E169" s="3" t="s">
        <v>17</v>
      </c>
      <c r="F169" s="3" t="s">
        <v>672</v>
      </c>
      <c r="G169" s="3" t="n">
        <v>18000</v>
      </c>
      <c r="H169" s="3"/>
      <c r="I169" s="4" t="str">
        <f aca="false">IF(H169="","",ROUND((H169-G169)/H169*100,0))</f>
        <v/>
      </c>
      <c r="J169" s="3" t="s">
        <v>19</v>
      </c>
      <c r="K169" s="3" t="s">
        <v>20</v>
      </c>
      <c r="L169" s="3"/>
      <c r="M169" s="5"/>
      <c r="N169" s="6" t="s">
        <v>692</v>
      </c>
    </row>
    <row r="170" customFormat="false" ht="26.85" hidden="false" customHeight="false" outlineLevel="0" collapsed="false">
      <c r="A170" s="2" t="s">
        <v>693</v>
      </c>
      <c r="B170" s="3" t="s">
        <v>694</v>
      </c>
      <c r="C170" s="3"/>
      <c r="D170" s="3" t="s">
        <v>695</v>
      </c>
      <c r="E170" s="3" t="s">
        <v>17</v>
      </c>
      <c r="F170" s="3" t="s">
        <v>672</v>
      </c>
      <c r="G170" s="3" t="n">
        <v>38000</v>
      </c>
      <c r="H170" s="3"/>
      <c r="I170" s="4" t="str">
        <f aca="false">IF(H170="","",ROUND((H170-G170)/H170*100,0))</f>
        <v/>
      </c>
      <c r="J170" s="3" t="s">
        <v>19</v>
      </c>
      <c r="K170" s="3" t="s">
        <v>20</v>
      </c>
      <c r="L170" s="3"/>
      <c r="M170" s="5"/>
      <c r="N170" s="6" t="s">
        <v>696</v>
      </c>
    </row>
    <row r="171" customFormat="false" ht="26.85" hidden="false" customHeight="false" outlineLevel="0" collapsed="false">
      <c r="A171" s="2" t="s">
        <v>697</v>
      </c>
      <c r="B171" s="3" t="s">
        <v>698</v>
      </c>
      <c r="C171" s="3"/>
      <c r="D171" s="3"/>
      <c r="E171" s="3" t="s">
        <v>325</v>
      </c>
      <c r="F171" s="3"/>
      <c r="G171" s="3" t="n">
        <v>18000</v>
      </c>
      <c r="H171" s="3"/>
      <c r="I171" s="4" t="str">
        <f aca="false">IF(H171="","",ROUND((H171-G171)/H171*100,0))</f>
        <v/>
      </c>
      <c r="J171" s="3" t="s">
        <v>19</v>
      </c>
      <c r="K171" s="3" t="s">
        <v>20</v>
      </c>
      <c r="L171" s="3"/>
      <c r="M171" s="5"/>
      <c r="N171" s="6" t="s">
        <v>699</v>
      </c>
    </row>
    <row r="172" customFormat="false" ht="26.85" hidden="false" customHeight="false" outlineLevel="0" collapsed="false">
      <c r="A172" s="2" t="s">
        <v>700</v>
      </c>
      <c r="B172" s="3" t="s">
        <v>701</v>
      </c>
      <c r="C172" s="3"/>
      <c r="D172" s="3" t="s">
        <v>702</v>
      </c>
      <c r="E172" s="3" t="s">
        <v>17</v>
      </c>
      <c r="F172" s="3"/>
      <c r="G172" s="3" t="n">
        <v>11000</v>
      </c>
      <c r="H172" s="3"/>
      <c r="I172" s="4" t="str">
        <f aca="false">IF(H172="","",ROUND((H172-G172)/H172*100,0))</f>
        <v/>
      </c>
      <c r="J172" s="3" t="s">
        <v>19</v>
      </c>
      <c r="K172" s="3" t="s">
        <v>20</v>
      </c>
      <c r="L172" s="3"/>
      <c r="M172" s="5"/>
      <c r="N172" s="6" t="s">
        <v>703</v>
      </c>
    </row>
    <row r="173" customFormat="false" ht="26.85" hidden="false" customHeight="false" outlineLevel="0" collapsed="false">
      <c r="A173" s="2" t="s">
        <v>704</v>
      </c>
      <c r="B173" s="3" t="s">
        <v>705</v>
      </c>
      <c r="C173" s="3"/>
      <c r="D173" s="3" t="s">
        <v>706</v>
      </c>
      <c r="E173" s="3" t="s">
        <v>17</v>
      </c>
      <c r="F173" s="3"/>
      <c r="G173" s="3" t="n">
        <v>54500</v>
      </c>
      <c r="H173" s="3"/>
      <c r="I173" s="4" t="str">
        <f aca="false">IF(H173="","",ROUND((H173-G173)/H173*100,0))</f>
        <v/>
      </c>
      <c r="J173" s="3" t="s">
        <v>19</v>
      </c>
      <c r="K173" s="3" t="s">
        <v>20</v>
      </c>
      <c r="L173" s="3"/>
      <c r="M173" s="5"/>
      <c r="N173" s="6" t="s">
        <v>707</v>
      </c>
    </row>
    <row r="174" customFormat="false" ht="26.85" hidden="false" customHeight="false" outlineLevel="0" collapsed="false">
      <c r="A174" s="2" t="s">
        <v>708</v>
      </c>
      <c r="B174" s="3" t="s">
        <v>709</v>
      </c>
      <c r="C174" s="3"/>
      <c r="D174" s="3" t="s">
        <v>710</v>
      </c>
      <c r="E174" s="3" t="s">
        <v>17</v>
      </c>
      <c r="F174" s="3"/>
      <c r="G174" s="3" t="n">
        <v>27500</v>
      </c>
      <c r="H174" s="3"/>
      <c r="I174" s="4" t="str">
        <f aca="false">IF(H174="","",ROUND((H174-G174)/H174*100,0))</f>
        <v/>
      </c>
      <c r="J174" s="3" t="s">
        <v>19</v>
      </c>
      <c r="K174" s="3" t="s">
        <v>20</v>
      </c>
      <c r="L174" s="3"/>
      <c r="M174" s="5"/>
      <c r="N174" s="6" t="s">
        <v>711</v>
      </c>
    </row>
    <row r="175" customFormat="false" ht="39.55" hidden="false" customHeight="false" outlineLevel="0" collapsed="false">
      <c r="A175" s="2" t="s">
        <v>712</v>
      </c>
      <c r="B175" s="3" t="s">
        <v>713</v>
      </c>
      <c r="C175" s="3" t="s">
        <v>714</v>
      </c>
      <c r="D175" s="3" t="s">
        <v>715</v>
      </c>
      <c r="E175" s="3" t="s">
        <v>17</v>
      </c>
      <c r="F175" s="3" t="s">
        <v>545</v>
      </c>
      <c r="G175" s="3" t="n">
        <v>51700</v>
      </c>
      <c r="H175" s="3"/>
      <c r="I175" s="4" t="str">
        <f aca="false">IF(H175="","",ROUND((H175-G175)/H175*100,0))</f>
        <v/>
      </c>
      <c r="J175" s="3" t="s">
        <v>19</v>
      </c>
      <c r="K175" s="3" t="s">
        <v>20</v>
      </c>
      <c r="L175" s="3"/>
      <c r="M175" s="5"/>
      <c r="N175" s="6" t="s">
        <v>716</v>
      </c>
    </row>
    <row r="176" customFormat="false" ht="26.85" hidden="false" customHeight="false" outlineLevel="0" collapsed="false">
      <c r="A176" s="2" t="s">
        <v>717</v>
      </c>
      <c r="B176" s="3" t="s">
        <v>718</v>
      </c>
      <c r="C176" s="3"/>
      <c r="D176" s="3" t="s">
        <v>719</v>
      </c>
      <c r="E176" s="3" t="s">
        <v>25</v>
      </c>
      <c r="F176" s="3"/>
      <c r="G176" s="3" t="n">
        <v>3000</v>
      </c>
      <c r="H176" s="3"/>
      <c r="I176" s="4" t="str">
        <f aca="false">IF(H176="","",ROUND((H176-G176)/H176*100,0))</f>
        <v/>
      </c>
      <c r="J176" s="3" t="s">
        <v>19</v>
      </c>
      <c r="K176" s="3" t="s">
        <v>20</v>
      </c>
      <c r="L176" s="3"/>
      <c r="M176" s="5"/>
      <c r="N176" s="6" t="s">
        <v>720</v>
      </c>
    </row>
    <row r="177" customFormat="false" ht="26.85" hidden="false" customHeight="false" outlineLevel="0" collapsed="false">
      <c r="A177" s="2" t="s">
        <v>721</v>
      </c>
      <c r="B177" s="3" t="s">
        <v>23</v>
      </c>
      <c r="C177" s="3"/>
      <c r="D177" s="3" t="s">
        <v>24</v>
      </c>
      <c r="E177" s="3" t="s">
        <v>25</v>
      </c>
      <c r="F177" s="3" t="s">
        <v>26</v>
      </c>
      <c r="G177" s="3" t="n">
        <v>72700</v>
      </c>
      <c r="H177" s="3"/>
      <c r="I177" s="4" t="str">
        <f aca="false">IF(H177="","",ROUND((H177-G177)/H177*100,0))</f>
        <v/>
      </c>
      <c r="J177" s="3" t="s">
        <v>19</v>
      </c>
      <c r="K177" s="3" t="s">
        <v>20</v>
      </c>
      <c r="L177" s="3"/>
      <c r="M177" s="5"/>
      <c r="N177" s="6" t="s">
        <v>27</v>
      </c>
    </row>
    <row r="178" customFormat="false" ht="26.85" hidden="false" customHeight="false" outlineLevel="0" collapsed="false">
      <c r="A178" s="2" t="s">
        <v>722</v>
      </c>
      <c r="B178" s="3" t="s">
        <v>723</v>
      </c>
      <c r="C178" s="3"/>
      <c r="D178" s="3" t="s">
        <v>688</v>
      </c>
      <c r="E178" s="3" t="s">
        <v>17</v>
      </c>
      <c r="F178" s="3" t="s">
        <v>684</v>
      </c>
      <c r="G178" s="3" t="n">
        <v>33600</v>
      </c>
      <c r="H178" s="3"/>
      <c r="I178" s="4" t="str">
        <f aca="false">IF(H178="","",ROUND((H178-G178)/H178*100,0))</f>
        <v/>
      </c>
      <c r="J178" s="3" t="s">
        <v>19</v>
      </c>
      <c r="K178" s="3" t="s">
        <v>20</v>
      </c>
      <c r="L178" s="3"/>
      <c r="M178" s="5"/>
      <c r="N178" s="6" t="s">
        <v>724</v>
      </c>
    </row>
    <row r="179" customFormat="false" ht="26.85" hidden="false" customHeight="false" outlineLevel="0" collapsed="false">
      <c r="A179" s="2" t="s">
        <v>725</v>
      </c>
      <c r="B179" s="3" t="s">
        <v>726</v>
      </c>
      <c r="C179" s="3"/>
      <c r="D179" s="3" t="s">
        <v>316</v>
      </c>
      <c r="E179" s="3" t="s">
        <v>36</v>
      </c>
      <c r="F179" s="3"/>
      <c r="G179" s="3" t="n">
        <v>5500</v>
      </c>
      <c r="H179" s="3"/>
      <c r="I179" s="4" t="str">
        <f aca="false">IF(H179="","",ROUND((H179-G179)/H179*100,0))</f>
        <v/>
      </c>
      <c r="J179" s="3" t="s">
        <v>19</v>
      </c>
      <c r="K179" s="3" t="s">
        <v>20</v>
      </c>
      <c r="L179" s="3"/>
      <c r="M179" s="5"/>
      <c r="N179" s="6" t="s">
        <v>727</v>
      </c>
    </row>
    <row r="180" customFormat="false" ht="26.85" hidden="false" customHeight="false" outlineLevel="0" collapsed="false">
      <c r="A180" s="2" t="s">
        <v>728</v>
      </c>
      <c r="B180" s="3" t="s">
        <v>729</v>
      </c>
      <c r="C180" s="3" t="s">
        <v>730</v>
      </c>
      <c r="D180" s="3" t="s">
        <v>731</v>
      </c>
      <c r="E180" s="3" t="s">
        <v>17</v>
      </c>
      <c r="F180" s="3" t="s">
        <v>18</v>
      </c>
      <c r="G180" s="3" t="n">
        <v>16000</v>
      </c>
      <c r="H180" s="3"/>
      <c r="I180" s="4" t="str">
        <f aca="false">IF(H180="","",ROUND((H180-G180)/H180*100,0))</f>
        <v/>
      </c>
      <c r="J180" s="3" t="s">
        <v>19</v>
      </c>
      <c r="K180" s="3" t="s">
        <v>20</v>
      </c>
      <c r="L180" s="3"/>
      <c r="M180" s="5"/>
      <c r="N180" s="6" t="s">
        <v>732</v>
      </c>
    </row>
    <row r="181" customFormat="false" ht="26.85" hidden="false" customHeight="false" outlineLevel="0" collapsed="false">
      <c r="A181" s="2" t="s">
        <v>733</v>
      </c>
      <c r="B181" s="3" t="s">
        <v>734</v>
      </c>
      <c r="C181" s="3" t="s">
        <v>735</v>
      </c>
      <c r="D181" s="3" t="s">
        <v>736</v>
      </c>
      <c r="E181" s="3" t="s">
        <v>17</v>
      </c>
      <c r="F181" s="3" t="s">
        <v>545</v>
      </c>
      <c r="G181" s="3" t="n">
        <v>16000</v>
      </c>
      <c r="H181" s="3"/>
      <c r="I181" s="4" t="str">
        <f aca="false">IF(H181="","",ROUND((H181-G181)/H181*100,0))</f>
        <v/>
      </c>
      <c r="J181" s="3" t="s">
        <v>19</v>
      </c>
      <c r="K181" s="3" t="s">
        <v>20</v>
      </c>
      <c r="L181" s="3"/>
      <c r="M181" s="5"/>
      <c r="N181" s="6" t="s">
        <v>737</v>
      </c>
    </row>
    <row r="182" customFormat="false" ht="26.85" hidden="false" customHeight="false" outlineLevel="0" collapsed="false">
      <c r="A182" s="2" t="s">
        <v>738</v>
      </c>
      <c r="B182" s="3" t="s">
        <v>739</v>
      </c>
      <c r="C182" s="3"/>
      <c r="D182" s="3" t="s">
        <v>397</v>
      </c>
      <c r="E182" s="3" t="s">
        <v>17</v>
      </c>
      <c r="F182" s="3"/>
      <c r="G182" s="3" t="n">
        <v>9300</v>
      </c>
      <c r="H182" s="3"/>
      <c r="I182" s="4" t="str">
        <f aca="false">IF(H182="","",ROUND((H182-G182)/H182*100,0))</f>
        <v/>
      </c>
      <c r="J182" s="3" t="s">
        <v>19</v>
      </c>
      <c r="K182" s="3" t="s">
        <v>20</v>
      </c>
      <c r="L182" s="3"/>
      <c r="M182" s="5"/>
      <c r="N182" s="6" t="s">
        <v>740</v>
      </c>
    </row>
    <row r="183" customFormat="false" ht="26.85" hidden="false" customHeight="false" outlineLevel="0" collapsed="false">
      <c r="A183" s="2" t="s">
        <v>741</v>
      </c>
      <c r="B183" s="3" t="s">
        <v>742</v>
      </c>
      <c r="C183" s="3" t="s">
        <v>743</v>
      </c>
      <c r="D183" s="3" t="s">
        <v>744</v>
      </c>
      <c r="E183" s="3" t="s">
        <v>25</v>
      </c>
      <c r="F183" s="3" t="s">
        <v>672</v>
      </c>
      <c r="G183" s="3" t="n">
        <v>7500</v>
      </c>
      <c r="H183" s="3"/>
      <c r="I183" s="4" t="str">
        <f aca="false">IF(H183="","",ROUND((H183-G183)/H183*100,0))</f>
        <v/>
      </c>
      <c r="J183" s="3" t="s">
        <v>19</v>
      </c>
      <c r="K183" s="3" t="s">
        <v>20</v>
      </c>
      <c r="L183" s="3"/>
      <c r="M183" s="5"/>
      <c r="N183" s="6" t="s">
        <v>745</v>
      </c>
    </row>
    <row r="184" customFormat="false" ht="26.85" hidden="false" customHeight="false" outlineLevel="0" collapsed="false">
      <c r="A184" s="2" t="s">
        <v>746</v>
      </c>
      <c r="B184" s="3" t="s">
        <v>747</v>
      </c>
      <c r="C184" s="3"/>
      <c r="D184" s="3" t="s">
        <v>387</v>
      </c>
      <c r="E184" s="3" t="s">
        <v>25</v>
      </c>
      <c r="F184" s="3" t="s">
        <v>672</v>
      </c>
      <c r="G184" s="3" t="n">
        <v>9800</v>
      </c>
      <c r="H184" s="3"/>
      <c r="I184" s="4" t="str">
        <f aca="false">IF(H184="","",ROUND((H184-G184)/H184*100,0))</f>
        <v/>
      </c>
      <c r="J184" s="3" t="s">
        <v>19</v>
      </c>
      <c r="K184" s="3" t="s">
        <v>20</v>
      </c>
      <c r="L184" s="3"/>
      <c r="M184" s="5"/>
      <c r="N184" s="6" t="s">
        <v>748</v>
      </c>
    </row>
    <row r="185" customFormat="false" ht="26.85" hidden="false" customHeight="false" outlineLevel="0" collapsed="false">
      <c r="A185" s="2" t="s">
        <v>749</v>
      </c>
      <c r="B185" s="3" t="s">
        <v>750</v>
      </c>
      <c r="C185" s="3"/>
      <c r="D185" s="3" t="s">
        <v>369</v>
      </c>
      <c r="E185" s="3" t="s">
        <v>17</v>
      </c>
      <c r="F185" s="3"/>
      <c r="G185" s="3" t="n">
        <v>12900</v>
      </c>
      <c r="H185" s="3"/>
      <c r="I185" s="4" t="str">
        <f aca="false">IF(H185="","",ROUND((H185-G185)/H185*100,0))</f>
        <v/>
      </c>
      <c r="J185" s="3" t="s">
        <v>19</v>
      </c>
      <c r="K185" s="3" t="s">
        <v>20</v>
      </c>
      <c r="L185" s="3"/>
      <c r="M185" s="5"/>
      <c r="N185" s="6" t="s">
        <v>751</v>
      </c>
    </row>
    <row r="186" customFormat="false" ht="26.85" hidden="false" customHeight="false" outlineLevel="0" collapsed="false">
      <c r="A186" s="2" t="s">
        <v>752</v>
      </c>
      <c r="B186" s="3" t="s">
        <v>753</v>
      </c>
      <c r="C186" s="3"/>
      <c r="D186" s="3" t="s">
        <v>754</v>
      </c>
      <c r="E186" s="3" t="s">
        <v>17</v>
      </c>
      <c r="F186" s="3" t="s">
        <v>755</v>
      </c>
      <c r="G186" s="3" t="n">
        <v>32000</v>
      </c>
      <c r="H186" s="3"/>
      <c r="I186" s="4" t="str">
        <f aca="false">IF(H186="","",ROUND((H186-G186)/H186*100,0))</f>
        <v/>
      </c>
      <c r="J186" s="3" t="s">
        <v>19</v>
      </c>
      <c r="K186" s="3" t="s">
        <v>20</v>
      </c>
      <c r="L186" s="3"/>
      <c r="M186" s="5"/>
      <c r="N186" s="6" t="s">
        <v>756</v>
      </c>
    </row>
    <row r="187" customFormat="false" ht="26.85" hidden="false" customHeight="false" outlineLevel="0" collapsed="false">
      <c r="A187" s="2" t="s">
        <v>757</v>
      </c>
      <c r="B187" s="3" t="s">
        <v>758</v>
      </c>
      <c r="C187" s="3"/>
      <c r="D187" s="3" t="s">
        <v>759</v>
      </c>
      <c r="E187" s="3" t="s">
        <v>17</v>
      </c>
      <c r="F187" s="3" t="s">
        <v>755</v>
      </c>
      <c r="G187" s="3" t="n">
        <v>63900</v>
      </c>
      <c r="H187" s="3"/>
      <c r="I187" s="4" t="str">
        <f aca="false">IF(H187="","",ROUND((H187-G187)/H187*100,0))</f>
        <v/>
      </c>
      <c r="J187" s="3" t="s">
        <v>19</v>
      </c>
      <c r="K187" s="3" t="s">
        <v>20</v>
      </c>
      <c r="L187" s="3"/>
      <c r="M187" s="5"/>
      <c r="N187" s="6" t="s">
        <v>760</v>
      </c>
    </row>
    <row r="188" customFormat="false" ht="26.85" hidden="false" customHeight="false" outlineLevel="0" collapsed="false">
      <c r="A188" s="2" t="s">
        <v>761</v>
      </c>
      <c r="B188" s="3" t="s">
        <v>762</v>
      </c>
      <c r="C188" s="3"/>
      <c r="D188" s="3" t="s">
        <v>763</v>
      </c>
      <c r="E188" s="3" t="s">
        <v>17</v>
      </c>
      <c r="F188" s="3" t="s">
        <v>755</v>
      </c>
      <c r="G188" s="3" t="n">
        <v>61500</v>
      </c>
      <c r="H188" s="3"/>
      <c r="I188" s="4" t="str">
        <f aca="false">IF(H188="","",ROUND((H188-G188)/H188*100,0))</f>
        <v/>
      </c>
      <c r="J188" s="3" t="s">
        <v>19</v>
      </c>
      <c r="K188" s="3" t="s">
        <v>20</v>
      </c>
      <c r="L188" s="3"/>
      <c r="M188" s="5"/>
      <c r="N188" s="6" t="s">
        <v>764</v>
      </c>
    </row>
    <row r="189" customFormat="false" ht="26.85" hidden="false" customHeight="false" outlineLevel="0" collapsed="false">
      <c r="A189" s="2" t="s">
        <v>765</v>
      </c>
      <c r="B189" s="3" t="s">
        <v>766</v>
      </c>
      <c r="C189" s="3"/>
      <c r="D189" s="3" t="s">
        <v>767</v>
      </c>
      <c r="E189" s="3" t="s">
        <v>17</v>
      </c>
      <c r="F189" s="3" t="s">
        <v>755</v>
      </c>
      <c r="G189" s="3" t="n">
        <v>45000</v>
      </c>
      <c r="H189" s="3"/>
      <c r="I189" s="4" t="str">
        <f aca="false">IF(H189="","",ROUND((H189-G189)/H189*100,0))</f>
        <v/>
      </c>
      <c r="J189" s="3" t="s">
        <v>19</v>
      </c>
      <c r="K189" s="3" t="s">
        <v>20</v>
      </c>
      <c r="L189" s="3"/>
      <c r="M189" s="5"/>
      <c r="N189" s="6" t="s">
        <v>768</v>
      </c>
    </row>
    <row r="190" customFormat="false" ht="26.85" hidden="false" customHeight="false" outlineLevel="0" collapsed="false">
      <c r="A190" s="2" t="s">
        <v>769</v>
      </c>
      <c r="B190" s="3" t="s">
        <v>770</v>
      </c>
      <c r="C190" s="3"/>
      <c r="D190" s="3" t="s">
        <v>771</v>
      </c>
      <c r="E190" s="3" t="s">
        <v>17</v>
      </c>
      <c r="F190" s="3"/>
      <c r="G190" s="3" t="n">
        <v>51900</v>
      </c>
      <c r="H190" s="3"/>
      <c r="I190" s="4" t="str">
        <f aca="false">IF(H190="","",ROUND((H190-G190)/H190*100,0))</f>
        <v/>
      </c>
      <c r="J190" s="3" t="s">
        <v>19</v>
      </c>
      <c r="K190" s="3" t="s">
        <v>20</v>
      </c>
      <c r="L190" s="3"/>
      <c r="M190" s="5"/>
      <c r="N190" s="6" t="s">
        <v>772</v>
      </c>
    </row>
    <row r="191" customFormat="false" ht="39.55" hidden="false" customHeight="false" outlineLevel="0" collapsed="false">
      <c r="A191" s="2" t="s">
        <v>773</v>
      </c>
      <c r="B191" s="3" t="s">
        <v>774</v>
      </c>
      <c r="C191" s="3"/>
      <c r="D191" s="3" t="s">
        <v>775</v>
      </c>
      <c r="E191" s="3" t="s">
        <v>17</v>
      </c>
      <c r="F191" s="3" t="s">
        <v>776</v>
      </c>
      <c r="G191" s="3" t="n">
        <v>9800</v>
      </c>
      <c r="H191" s="3"/>
      <c r="I191" s="4" t="str">
        <f aca="false">IF(H191="","",ROUND((H191-G191)/H191*100,0))</f>
        <v/>
      </c>
      <c r="J191" s="3" t="s">
        <v>19</v>
      </c>
      <c r="K191" s="3" t="s">
        <v>20</v>
      </c>
      <c r="L191" s="3"/>
      <c r="M191" s="5"/>
      <c r="N191" s="6" t="s">
        <v>777</v>
      </c>
    </row>
    <row r="192" customFormat="false" ht="26.85" hidden="false" customHeight="false" outlineLevel="0" collapsed="false">
      <c r="A192" s="2" t="s">
        <v>778</v>
      </c>
      <c r="B192" s="3" t="s">
        <v>779</v>
      </c>
      <c r="C192" s="3"/>
      <c r="D192" s="3" t="s">
        <v>227</v>
      </c>
      <c r="E192" s="3" t="s">
        <v>17</v>
      </c>
      <c r="F192" s="3"/>
      <c r="G192" s="3" t="n">
        <v>7900</v>
      </c>
      <c r="H192" s="3"/>
      <c r="I192" s="4" t="str">
        <f aca="false">IF(H192="","",ROUND((H192-G192)/H192*100,0))</f>
        <v/>
      </c>
      <c r="J192" s="3" t="s">
        <v>19</v>
      </c>
      <c r="K192" s="3" t="s">
        <v>20</v>
      </c>
      <c r="L192" s="3"/>
      <c r="M192" s="5"/>
      <c r="N192" s="6" t="s">
        <v>780</v>
      </c>
    </row>
    <row r="193" customFormat="false" ht="26.85" hidden="false" customHeight="false" outlineLevel="0" collapsed="false">
      <c r="A193" s="2" t="s">
        <v>781</v>
      </c>
      <c r="B193" s="3" t="s">
        <v>782</v>
      </c>
      <c r="C193" s="3"/>
      <c r="D193" s="3" t="s">
        <v>783</v>
      </c>
      <c r="E193" s="3" t="s">
        <v>25</v>
      </c>
      <c r="F193" s="3"/>
      <c r="G193" s="3" t="n">
        <v>66500</v>
      </c>
      <c r="H193" s="3"/>
      <c r="I193" s="4" t="str">
        <f aca="false">IF(H193="","",ROUND((H193-G193)/H193*100,0))</f>
        <v/>
      </c>
      <c r="J193" s="3" t="s">
        <v>19</v>
      </c>
      <c r="K193" s="3" t="s">
        <v>20</v>
      </c>
      <c r="L193" s="3"/>
      <c r="M193" s="5"/>
      <c r="N193" s="6" t="s">
        <v>784</v>
      </c>
    </row>
    <row r="194" customFormat="false" ht="26.85" hidden="false" customHeight="false" outlineLevel="0" collapsed="false">
      <c r="A194" s="2" t="s">
        <v>785</v>
      </c>
      <c r="B194" s="3" t="s">
        <v>786</v>
      </c>
      <c r="C194" s="3"/>
      <c r="D194" s="3" t="s">
        <v>787</v>
      </c>
      <c r="E194" s="3" t="s">
        <v>25</v>
      </c>
      <c r="F194" s="3"/>
      <c r="G194" s="3" t="n">
        <v>25000</v>
      </c>
      <c r="H194" s="3" t="n">
        <v>33750</v>
      </c>
      <c r="I194" s="4" t="n">
        <f aca="false">IF(H194="","",ROUND((H194-G194)/H194*100,0))</f>
        <v>26</v>
      </c>
      <c r="J194" s="3" t="s">
        <v>19</v>
      </c>
      <c r="K194" s="3" t="s">
        <v>20</v>
      </c>
      <c r="L194" s="3"/>
      <c r="M194" s="5"/>
      <c r="N194" s="6" t="s">
        <v>788</v>
      </c>
    </row>
    <row r="195" customFormat="false" ht="26.85" hidden="false" customHeight="false" outlineLevel="0" collapsed="false">
      <c r="A195" s="2" t="s">
        <v>789</v>
      </c>
      <c r="B195" s="3" t="s">
        <v>790</v>
      </c>
      <c r="C195" s="3"/>
      <c r="D195" s="3" t="s">
        <v>791</v>
      </c>
      <c r="E195" s="3" t="s">
        <v>25</v>
      </c>
      <c r="F195" s="3"/>
      <c r="G195" s="3" t="n">
        <v>33800</v>
      </c>
      <c r="H195" s="3" t="n">
        <v>45630</v>
      </c>
      <c r="I195" s="4" t="n">
        <f aca="false">IF(H195="","",ROUND((H195-G195)/H195*100,0))</f>
        <v>26</v>
      </c>
      <c r="J195" s="3" t="s">
        <v>19</v>
      </c>
      <c r="K195" s="3" t="s">
        <v>20</v>
      </c>
      <c r="L195" s="3"/>
      <c r="M195" s="5"/>
      <c r="N195" s="6" t="s">
        <v>792</v>
      </c>
    </row>
    <row r="196" customFormat="false" ht="26.85" hidden="false" customHeight="false" outlineLevel="0" collapsed="false">
      <c r="A196" s="2" t="s">
        <v>793</v>
      </c>
      <c r="B196" s="3" t="s">
        <v>794</v>
      </c>
      <c r="C196" s="3"/>
      <c r="D196" s="3" t="s">
        <v>795</v>
      </c>
      <c r="E196" s="3" t="s">
        <v>17</v>
      </c>
      <c r="F196" s="3"/>
      <c r="G196" s="3" t="n">
        <v>25900</v>
      </c>
      <c r="H196" s="3"/>
      <c r="I196" s="4" t="str">
        <f aca="false">IF(H196="","",ROUND((H196-G196)/H196*100,0))</f>
        <v/>
      </c>
      <c r="J196" s="3" t="s">
        <v>19</v>
      </c>
      <c r="K196" s="3" t="s">
        <v>20</v>
      </c>
      <c r="L196" s="3"/>
      <c r="M196" s="5"/>
      <c r="N196" s="6" t="s">
        <v>796</v>
      </c>
    </row>
    <row r="197" customFormat="false" ht="26.85" hidden="false" customHeight="false" outlineLevel="0" collapsed="false">
      <c r="A197" s="2" t="s">
        <v>797</v>
      </c>
      <c r="B197" s="3" t="s">
        <v>798</v>
      </c>
      <c r="C197" s="3"/>
      <c r="D197" s="3" t="s">
        <v>799</v>
      </c>
      <c r="E197" s="3" t="s">
        <v>17</v>
      </c>
      <c r="F197" s="3"/>
      <c r="G197" s="3" t="n">
        <v>10500</v>
      </c>
      <c r="H197" s="3"/>
      <c r="I197" s="4" t="str">
        <f aca="false">IF(H197="","",ROUND((H197-G197)/H197*100,0))</f>
        <v/>
      </c>
      <c r="J197" s="3" t="s">
        <v>19</v>
      </c>
      <c r="K197" s="3" t="s">
        <v>20</v>
      </c>
      <c r="L197" s="3"/>
      <c r="M197" s="5"/>
      <c r="N197" s="6" t="s">
        <v>800</v>
      </c>
    </row>
    <row r="198" customFormat="false" ht="26.85" hidden="false" customHeight="false" outlineLevel="0" collapsed="false">
      <c r="A198" s="2" t="s">
        <v>801</v>
      </c>
      <c r="B198" s="3" t="s">
        <v>802</v>
      </c>
      <c r="C198" s="3"/>
      <c r="D198" s="3" t="s">
        <v>227</v>
      </c>
      <c r="E198" s="3" t="s">
        <v>17</v>
      </c>
      <c r="F198" s="3"/>
      <c r="G198" s="3" t="n">
        <v>23000</v>
      </c>
      <c r="H198" s="3"/>
      <c r="I198" s="4" t="str">
        <f aca="false">IF(H198="","",ROUND((H198-G198)/H198*100,0))</f>
        <v/>
      </c>
      <c r="J198" s="3" t="s">
        <v>19</v>
      </c>
      <c r="K198" s="3" t="s">
        <v>20</v>
      </c>
      <c r="L198" s="3"/>
      <c r="M198" s="5"/>
      <c r="N198" s="6" t="s">
        <v>803</v>
      </c>
    </row>
    <row r="199" customFormat="false" ht="26.85" hidden="false" customHeight="false" outlineLevel="0" collapsed="false">
      <c r="A199" s="2" t="s">
        <v>804</v>
      </c>
      <c r="B199" s="3" t="s">
        <v>805</v>
      </c>
      <c r="C199" s="3"/>
      <c r="D199" s="3" t="s">
        <v>806</v>
      </c>
      <c r="E199" s="3" t="s">
        <v>17</v>
      </c>
      <c r="F199" s="3"/>
      <c r="G199" s="3" t="n">
        <v>26000</v>
      </c>
      <c r="H199" s="3"/>
      <c r="I199" s="4" t="str">
        <f aca="false">IF(H199="","",ROUND((H199-G199)/H199*100,0))</f>
        <v/>
      </c>
      <c r="J199" s="3" t="s">
        <v>19</v>
      </c>
      <c r="K199" s="3" t="s">
        <v>20</v>
      </c>
      <c r="L199" s="3"/>
      <c r="M199" s="5"/>
      <c r="N199" s="6" t="s">
        <v>807</v>
      </c>
    </row>
    <row r="200" customFormat="false" ht="39.55" hidden="false" customHeight="false" outlineLevel="0" collapsed="false">
      <c r="A200" s="2" t="s">
        <v>808</v>
      </c>
      <c r="B200" s="3" t="s">
        <v>809</v>
      </c>
      <c r="C200" s="3"/>
      <c r="D200" s="3" t="s">
        <v>810</v>
      </c>
      <c r="E200" s="3" t="s">
        <v>17</v>
      </c>
      <c r="F200" s="3"/>
      <c r="G200" s="3" t="n">
        <v>10700</v>
      </c>
      <c r="H200" s="3"/>
      <c r="I200" s="4" t="str">
        <f aca="false">IF(H200="","",ROUND((H200-G200)/H200*100,0))</f>
        <v/>
      </c>
      <c r="J200" s="3" t="s">
        <v>19</v>
      </c>
      <c r="K200" s="3" t="s">
        <v>20</v>
      </c>
      <c r="L200" s="3"/>
      <c r="M200" s="5"/>
      <c r="N200" s="6" t="s">
        <v>811</v>
      </c>
    </row>
    <row r="201" customFormat="false" ht="26.85" hidden="false" customHeight="false" outlineLevel="0" collapsed="false">
      <c r="A201" s="2" t="s">
        <v>812</v>
      </c>
      <c r="B201" s="3" t="s">
        <v>813</v>
      </c>
      <c r="C201" s="3"/>
      <c r="D201" s="3" t="s">
        <v>715</v>
      </c>
      <c r="E201" s="3" t="s">
        <v>325</v>
      </c>
      <c r="F201" s="3" t="s">
        <v>684</v>
      </c>
      <c r="G201" s="3" t="n">
        <v>44900</v>
      </c>
      <c r="H201" s="3"/>
      <c r="I201" s="4" t="str">
        <f aca="false">IF(H201="","",ROUND((H201-G201)/H201*100,0))</f>
        <v/>
      </c>
      <c r="J201" s="3" t="s">
        <v>19</v>
      </c>
      <c r="K201" s="3" t="s">
        <v>20</v>
      </c>
      <c r="L201" s="3"/>
      <c r="M201" s="5"/>
      <c r="N201" s="6" t="s">
        <v>814</v>
      </c>
    </row>
    <row r="202" customFormat="false" ht="26.85" hidden="false" customHeight="false" outlineLevel="0" collapsed="false">
      <c r="A202" s="2" t="s">
        <v>815</v>
      </c>
      <c r="B202" s="3" t="s">
        <v>816</v>
      </c>
      <c r="C202" s="3"/>
      <c r="D202" s="3" t="s">
        <v>817</v>
      </c>
      <c r="E202" s="3" t="s">
        <v>17</v>
      </c>
      <c r="F202" s="3" t="s">
        <v>18</v>
      </c>
      <c r="G202" s="3" t="n">
        <v>17900</v>
      </c>
      <c r="H202" s="3"/>
      <c r="I202" s="4" t="str">
        <f aca="false">IF(H202="","",ROUND((H202-G202)/H202*100,0))</f>
        <v/>
      </c>
      <c r="J202" s="3" t="s">
        <v>19</v>
      </c>
      <c r="K202" s="3" t="s">
        <v>20</v>
      </c>
      <c r="L202" s="3"/>
      <c r="M202" s="5"/>
      <c r="N202" s="6" t="s">
        <v>818</v>
      </c>
    </row>
    <row r="203" customFormat="false" ht="26.85" hidden="false" customHeight="false" outlineLevel="0" collapsed="false">
      <c r="A203" s="2" t="s">
        <v>819</v>
      </c>
      <c r="B203" s="3" t="s">
        <v>820</v>
      </c>
      <c r="C203" s="3"/>
      <c r="D203" s="3" t="s">
        <v>131</v>
      </c>
      <c r="E203" s="3" t="s">
        <v>17</v>
      </c>
      <c r="F203" s="3" t="s">
        <v>18</v>
      </c>
      <c r="G203" s="3" t="n">
        <v>38900</v>
      </c>
      <c r="H203" s="3"/>
      <c r="I203" s="4" t="str">
        <f aca="false">IF(H203="","",ROUND((H203-G203)/H203*100,0))</f>
        <v/>
      </c>
      <c r="J203" s="3" t="s">
        <v>19</v>
      </c>
      <c r="K203" s="3" t="s">
        <v>20</v>
      </c>
      <c r="L203" s="3"/>
      <c r="M203" s="5"/>
      <c r="N203" s="6" t="s">
        <v>821</v>
      </c>
    </row>
    <row r="204" customFormat="false" ht="26.85" hidden="false" customHeight="false" outlineLevel="0" collapsed="false">
      <c r="A204" s="2" t="s">
        <v>822</v>
      </c>
      <c r="B204" s="3" t="s">
        <v>823</v>
      </c>
      <c r="C204" s="3" t="s">
        <v>824</v>
      </c>
      <c r="D204" s="3" t="s">
        <v>825</v>
      </c>
      <c r="E204" s="3" t="s">
        <v>25</v>
      </c>
      <c r="F204" s="3" t="s">
        <v>672</v>
      </c>
      <c r="G204" s="3" t="n">
        <v>53500</v>
      </c>
      <c r="H204" s="3"/>
      <c r="I204" s="4" t="str">
        <f aca="false">IF(H204="","",ROUND((H204-G204)/H204*100,0))</f>
        <v/>
      </c>
      <c r="J204" s="3" t="s">
        <v>19</v>
      </c>
      <c r="K204" s="3" t="s">
        <v>20</v>
      </c>
      <c r="L204" s="3"/>
      <c r="M204" s="5"/>
      <c r="N204" s="6" t="s">
        <v>826</v>
      </c>
    </row>
    <row r="205" customFormat="false" ht="26.85" hidden="false" customHeight="false" outlineLevel="0" collapsed="false">
      <c r="A205" s="2" t="s">
        <v>827</v>
      </c>
      <c r="B205" s="3" t="s">
        <v>828</v>
      </c>
      <c r="C205" s="3" t="s">
        <v>824</v>
      </c>
      <c r="D205" s="3" t="s">
        <v>829</v>
      </c>
      <c r="E205" s="3" t="s">
        <v>25</v>
      </c>
      <c r="F205" s="3" t="s">
        <v>672</v>
      </c>
      <c r="G205" s="3" t="n">
        <v>71900</v>
      </c>
      <c r="H205" s="3"/>
      <c r="I205" s="4" t="str">
        <f aca="false">IF(H205="","",ROUND((H205-G205)/H205*100,0))</f>
        <v/>
      </c>
      <c r="J205" s="3" t="s">
        <v>19</v>
      </c>
      <c r="K205" s="3" t="s">
        <v>20</v>
      </c>
      <c r="L205" s="3"/>
      <c r="M205" s="5"/>
      <c r="N205" s="6" t="s">
        <v>830</v>
      </c>
    </row>
    <row r="206" customFormat="false" ht="26.85" hidden="false" customHeight="false" outlineLevel="0" collapsed="false">
      <c r="A206" s="2" t="s">
        <v>831</v>
      </c>
      <c r="B206" s="3" t="s">
        <v>832</v>
      </c>
      <c r="C206" s="3"/>
      <c r="D206" s="3" t="s">
        <v>833</v>
      </c>
      <c r="E206" s="3" t="s">
        <v>17</v>
      </c>
      <c r="F206" s="3"/>
      <c r="G206" s="3" t="n">
        <v>71900</v>
      </c>
      <c r="H206" s="3"/>
      <c r="I206" s="4" t="str">
        <f aca="false">IF(H206="","",ROUND((H206-G206)/H206*100,0))</f>
        <v/>
      </c>
      <c r="J206" s="3" t="s">
        <v>19</v>
      </c>
      <c r="K206" s="3" t="s">
        <v>20</v>
      </c>
      <c r="L206" s="3"/>
      <c r="M206" s="5"/>
      <c r="N206" s="6" t="s">
        <v>834</v>
      </c>
    </row>
    <row r="207" customFormat="false" ht="26.85" hidden="false" customHeight="false" outlineLevel="0" collapsed="false">
      <c r="A207" s="2" t="s">
        <v>835</v>
      </c>
      <c r="B207" s="3" t="s">
        <v>836</v>
      </c>
      <c r="C207" s="3"/>
      <c r="D207" s="3" t="s">
        <v>437</v>
      </c>
      <c r="E207" s="3" t="s">
        <v>36</v>
      </c>
      <c r="F207" s="3"/>
      <c r="G207" s="3" t="n">
        <v>26200</v>
      </c>
      <c r="H207" s="3"/>
      <c r="I207" s="4" t="str">
        <f aca="false">IF(H207="","",ROUND((H207-G207)/H207*100,0))</f>
        <v/>
      </c>
      <c r="J207" s="3" t="s">
        <v>19</v>
      </c>
      <c r="K207" s="3" t="s">
        <v>20</v>
      </c>
      <c r="L207" s="3"/>
      <c r="M207" s="5"/>
      <c r="N207" s="6" t="s">
        <v>837</v>
      </c>
    </row>
    <row r="208" customFormat="false" ht="26.85" hidden="false" customHeight="false" outlineLevel="0" collapsed="false">
      <c r="A208" s="2" t="s">
        <v>838</v>
      </c>
      <c r="B208" s="3" t="s">
        <v>839</v>
      </c>
      <c r="C208" s="3"/>
      <c r="D208" s="3" t="s">
        <v>437</v>
      </c>
      <c r="E208" s="3" t="s">
        <v>17</v>
      </c>
      <c r="F208" s="3"/>
      <c r="G208" s="3" t="n">
        <v>27800</v>
      </c>
      <c r="H208" s="3"/>
      <c r="I208" s="4" t="str">
        <f aca="false">IF(H208="","",ROUND((H208-G208)/H208*100,0))</f>
        <v/>
      </c>
      <c r="J208" s="3" t="s">
        <v>19</v>
      </c>
      <c r="K208" s="3" t="s">
        <v>20</v>
      </c>
      <c r="L208" s="3"/>
      <c r="M208" s="5"/>
      <c r="N208" s="6" t="s">
        <v>840</v>
      </c>
    </row>
    <row r="209" customFormat="false" ht="26.85" hidden="false" customHeight="false" outlineLevel="0" collapsed="false">
      <c r="A209" s="2" t="s">
        <v>841</v>
      </c>
      <c r="B209" s="3" t="s">
        <v>842</v>
      </c>
      <c r="C209" s="3"/>
      <c r="D209" s="3" t="s">
        <v>843</v>
      </c>
      <c r="E209" s="3" t="s">
        <v>17</v>
      </c>
      <c r="F209" s="3"/>
      <c r="G209" s="3" t="n">
        <v>91800</v>
      </c>
      <c r="H209" s="3"/>
      <c r="I209" s="4" t="str">
        <f aca="false">IF(H209="","",ROUND((H209-G209)/H209*100,0))</f>
        <v/>
      </c>
      <c r="J209" s="3" t="s">
        <v>19</v>
      </c>
      <c r="K209" s="3" t="s">
        <v>20</v>
      </c>
      <c r="L209" s="3"/>
      <c r="M209" s="5"/>
      <c r="N209" s="6" t="s">
        <v>844</v>
      </c>
    </row>
    <row r="210" customFormat="false" ht="26.85" hidden="false" customHeight="false" outlineLevel="0" collapsed="false">
      <c r="A210" s="2" t="s">
        <v>845</v>
      </c>
      <c r="B210" s="3" t="s">
        <v>846</v>
      </c>
      <c r="C210" s="3"/>
      <c r="D210" s="3" t="s">
        <v>847</v>
      </c>
      <c r="E210" s="3" t="s">
        <v>17</v>
      </c>
      <c r="F210" s="3"/>
      <c r="G210" s="3" t="n">
        <v>4800</v>
      </c>
      <c r="H210" s="3"/>
      <c r="I210" s="4" t="str">
        <f aca="false">IF(H210="","",ROUND((H210-G210)/H210*100,0))</f>
        <v/>
      </c>
      <c r="J210" s="3" t="s">
        <v>19</v>
      </c>
      <c r="K210" s="3" t="s">
        <v>20</v>
      </c>
      <c r="L210" s="3"/>
      <c r="M210" s="5"/>
      <c r="N210" s="6" t="s">
        <v>848</v>
      </c>
    </row>
    <row r="211" customFormat="false" ht="26.85" hidden="false" customHeight="false" outlineLevel="0" collapsed="false">
      <c r="A211" s="2" t="s">
        <v>849</v>
      </c>
      <c r="B211" s="3" t="s">
        <v>850</v>
      </c>
      <c r="C211" s="3"/>
      <c r="D211" s="3" t="s">
        <v>851</v>
      </c>
      <c r="E211" s="3" t="s">
        <v>325</v>
      </c>
      <c r="F211" s="3"/>
      <c r="G211" s="3" t="n">
        <v>32500</v>
      </c>
      <c r="H211" s="3"/>
      <c r="I211" s="4" t="str">
        <f aca="false">IF(H211="","",ROUND((H211-G211)/H211*100,0))</f>
        <v/>
      </c>
      <c r="J211" s="3" t="s">
        <v>19</v>
      </c>
      <c r="K211" s="3" t="s">
        <v>20</v>
      </c>
      <c r="L211" s="3"/>
      <c r="M211" s="5"/>
      <c r="N211" s="6" t="s">
        <v>852</v>
      </c>
    </row>
    <row r="212" customFormat="false" ht="26.85" hidden="false" customHeight="false" outlineLevel="0" collapsed="false">
      <c r="A212" s="2" t="s">
        <v>853</v>
      </c>
      <c r="B212" s="3" t="s">
        <v>854</v>
      </c>
      <c r="C212" s="3"/>
      <c r="D212" s="3" t="s">
        <v>855</v>
      </c>
      <c r="E212" s="3" t="s">
        <v>17</v>
      </c>
      <c r="F212" s="3"/>
      <c r="G212" s="3" t="n">
        <v>20500</v>
      </c>
      <c r="H212" s="3"/>
      <c r="I212" s="4" t="str">
        <f aca="false">IF(H212="","",ROUND((H212-G212)/H212*100,0))</f>
        <v/>
      </c>
      <c r="J212" s="3" t="s">
        <v>19</v>
      </c>
      <c r="K212" s="3" t="s">
        <v>20</v>
      </c>
      <c r="L212" s="3"/>
      <c r="M212" s="5"/>
      <c r="N212" s="6" t="s">
        <v>856</v>
      </c>
    </row>
    <row r="213" customFormat="false" ht="26.85" hidden="false" customHeight="false" outlineLevel="0" collapsed="false">
      <c r="A213" s="2" t="s">
        <v>857</v>
      </c>
      <c r="B213" s="3" t="s">
        <v>858</v>
      </c>
      <c r="C213" s="3"/>
      <c r="D213" s="3" t="s">
        <v>859</v>
      </c>
      <c r="E213" s="3" t="s">
        <v>17</v>
      </c>
      <c r="F213" s="3" t="s">
        <v>776</v>
      </c>
      <c r="G213" s="3" t="n">
        <v>11500</v>
      </c>
      <c r="H213" s="3"/>
      <c r="I213" s="4" t="str">
        <f aca="false">IF(H213="","",ROUND((H213-G213)/H213*100,0))</f>
        <v/>
      </c>
      <c r="J213" s="3" t="s">
        <v>19</v>
      </c>
      <c r="K213" s="3" t="s">
        <v>20</v>
      </c>
      <c r="L213" s="3"/>
      <c r="M213" s="5"/>
      <c r="N213" s="6" t="s">
        <v>860</v>
      </c>
    </row>
    <row r="214" customFormat="false" ht="26.85" hidden="false" customHeight="false" outlineLevel="0" collapsed="false">
      <c r="A214" s="2" t="s">
        <v>861</v>
      </c>
      <c r="B214" s="3" t="s">
        <v>862</v>
      </c>
      <c r="C214" s="3"/>
      <c r="D214" s="3" t="s">
        <v>24</v>
      </c>
      <c r="E214" s="3" t="s">
        <v>36</v>
      </c>
      <c r="F214" s="3"/>
      <c r="G214" s="3" t="n">
        <v>8200</v>
      </c>
      <c r="H214" s="3"/>
      <c r="I214" s="4" t="str">
        <f aca="false">IF(H214="","",ROUND((H214-G214)/H214*100,0))</f>
        <v/>
      </c>
      <c r="J214" s="3" t="s">
        <v>19</v>
      </c>
      <c r="K214" s="3" t="s">
        <v>20</v>
      </c>
      <c r="L214" s="3"/>
      <c r="M214" s="5"/>
      <c r="N214" s="6" t="s">
        <v>863</v>
      </c>
    </row>
    <row r="215" customFormat="false" ht="26.85" hidden="false" customHeight="false" outlineLevel="0" collapsed="false">
      <c r="A215" s="2" t="s">
        <v>864</v>
      </c>
      <c r="B215" s="3" t="s">
        <v>865</v>
      </c>
      <c r="C215" s="3"/>
      <c r="D215" s="3" t="s">
        <v>866</v>
      </c>
      <c r="E215" s="3" t="s">
        <v>25</v>
      </c>
      <c r="F215" s="3"/>
      <c r="G215" s="3" t="n">
        <v>75900</v>
      </c>
      <c r="H215" s="3"/>
      <c r="I215" s="4" t="str">
        <f aca="false">IF(H215="","",ROUND((H215-G215)/H215*100,0))</f>
        <v/>
      </c>
      <c r="J215" s="3" t="s">
        <v>19</v>
      </c>
      <c r="K215" s="3" t="s">
        <v>20</v>
      </c>
      <c r="L215" s="3"/>
      <c r="M215" s="5"/>
      <c r="N215" s="6" t="s">
        <v>867</v>
      </c>
    </row>
    <row r="216" customFormat="false" ht="26.85" hidden="false" customHeight="false" outlineLevel="0" collapsed="false">
      <c r="A216" s="2" t="s">
        <v>868</v>
      </c>
      <c r="B216" s="3" t="s">
        <v>869</v>
      </c>
      <c r="C216" s="3"/>
      <c r="D216" s="3" t="s">
        <v>870</v>
      </c>
      <c r="E216" s="3" t="s">
        <v>17</v>
      </c>
      <c r="F216" s="3"/>
      <c r="G216" s="3" t="n">
        <v>51000</v>
      </c>
      <c r="H216" s="3"/>
      <c r="I216" s="4" t="str">
        <f aca="false">IF(H216="","",ROUND((H216-G216)/H216*100,0))</f>
        <v/>
      </c>
      <c r="J216" s="3" t="s">
        <v>19</v>
      </c>
      <c r="K216" s="3" t="s">
        <v>20</v>
      </c>
      <c r="L216" s="3"/>
      <c r="M216" s="5"/>
      <c r="N216" s="6" t="s">
        <v>871</v>
      </c>
    </row>
    <row r="217" customFormat="false" ht="26.85" hidden="false" customHeight="false" outlineLevel="0" collapsed="false">
      <c r="A217" s="2" t="s">
        <v>872</v>
      </c>
      <c r="B217" s="3" t="s">
        <v>873</v>
      </c>
      <c r="C217" s="3"/>
      <c r="D217" s="3" t="s">
        <v>100</v>
      </c>
      <c r="E217" s="3" t="s">
        <v>17</v>
      </c>
      <c r="F217" s="3" t="s">
        <v>102</v>
      </c>
      <c r="G217" s="3" t="n">
        <v>26400</v>
      </c>
      <c r="H217" s="3"/>
      <c r="I217" s="4" t="str">
        <f aca="false">IF(H217="","",ROUND((H217-G217)/H217*100,0))</f>
        <v/>
      </c>
      <c r="J217" s="3" t="s">
        <v>19</v>
      </c>
      <c r="K217" s="3" t="s">
        <v>20</v>
      </c>
      <c r="L217" s="3"/>
      <c r="M217" s="5"/>
      <c r="N217" s="6" t="s">
        <v>874</v>
      </c>
    </row>
    <row r="218" customFormat="false" ht="26.85" hidden="false" customHeight="false" outlineLevel="0" collapsed="false">
      <c r="A218" s="2" t="s">
        <v>875</v>
      </c>
      <c r="B218" s="3" t="s">
        <v>876</v>
      </c>
      <c r="C218" s="3"/>
      <c r="D218" s="3" t="s">
        <v>877</v>
      </c>
      <c r="E218" s="3" t="s">
        <v>17</v>
      </c>
      <c r="F218" s="3"/>
      <c r="G218" s="3" t="n">
        <v>6200</v>
      </c>
      <c r="H218" s="3"/>
      <c r="I218" s="4" t="str">
        <f aca="false">IF(H218="","",ROUND((H218-G218)/H218*100,0))</f>
        <v/>
      </c>
      <c r="J218" s="3" t="s">
        <v>19</v>
      </c>
      <c r="K218" s="3" t="s">
        <v>20</v>
      </c>
      <c r="L218" s="3"/>
      <c r="M218" s="5"/>
      <c r="N218" s="6" t="s">
        <v>878</v>
      </c>
    </row>
    <row r="219" customFormat="false" ht="39.55" hidden="false" customHeight="false" outlineLevel="0" collapsed="false">
      <c r="A219" s="2" t="s">
        <v>879</v>
      </c>
      <c r="B219" s="3" t="s">
        <v>880</v>
      </c>
      <c r="C219" s="3"/>
      <c r="D219" s="3" t="s">
        <v>881</v>
      </c>
      <c r="E219" s="3" t="s">
        <v>17</v>
      </c>
      <c r="F219" s="3" t="s">
        <v>46</v>
      </c>
      <c r="G219" s="3" t="n">
        <v>58000</v>
      </c>
      <c r="H219" s="3"/>
      <c r="I219" s="4" t="str">
        <f aca="false">IF(H219="","",ROUND((H219-G219)/H219*100,0))</f>
        <v/>
      </c>
      <c r="J219" s="3" t="s">
        <v>19</v>
      </c>
      <c r="K219" s="3" t="s">
        <v>20</v>
      </c>
      <c r="L219" s="3"/>
      <c r="M219" s="5"/>
      <c r="N219" s="6" t="s">
        <v>882</v>
      </c>
    </row>
    <row r="220" customFormat="false" ht="26.85" hidden="false" customHeight="false" outlineLevel="0" collapsed="false">
      <c r="A220" s="2" t="s">
        <v>883</v>
      </c>
      <c r="B220" s="3" t="s">
        <v>884</v>
      </c>
      <c r="C220" s="3"/>
      <c r="D220" s="3" t="s">
        <v>885</v>
      </c>
      <c r="E220" s="3" t="s">
        <v>17</v>
      </c>
      <c r="F220" s="3" t="s">
        <v>46</v>
      </c>
      <c r="G220" s="3" t="n">
        <v>37300</v>
      </c>
      <c r="H220" s="3"/>
      <c r="I220" s="4" t="str">
        <f aca="false">IF(H220="","",ROUND((H220-G220)/H220*100,0))</f>
        <v/>
      </c>
      <c r="J220" s="3" t="s">
        <v>19</v>
      </c>
      <c r="K220" s="3" t="s">
        <v>20</v>
      </c>
      <c r="L220" s="3"/>
      <c r="M220" s="5"/>
      <c r="N220" s="6" t="s">
        <v>886</v>
      </c>
    </row>
    <row r="221" customFormat="false" ht="26.85" hidden="false" customHeight="false" outlineLevel="0" collapsed="false">
      <c r="A221" s="2" t="s">
        <v>887</v>
      </c>
      <c r="B221" s="3" t="s">
        <v>888</v>
      </c>
      <c r="C221" s="3"/>
      <c r="D221" s="3"/>
      <c r="E221" s="3" t="s">
        <v>325</v>
      </c>
      <c r="F221" s="3"/>
      <c r="G221" s="3" t="n">
        <v>11000</v>
      </c>
      <c r="H221" s="3" t="n">
        <v>14850</v>
      </c>
      <c r="I221" s="4" t="n">
        <f aca="false">IF(H221="","",ROUND((H221-G221)/H221*100,0))</f>
        <v>26</v>
      </c>
      <c r="J221" s="3" t="s">
        <v>19</v>
      </c>
      <c r="K221" s="3" t="s">
        <v>20</v>
      </c>
      <c r="L221" s="3"/>
      <c r="M221" s="5"/>
      <c r="N221" s="6" t="s">
        <v>889</v>
      </c>
    </row>
    <row r="222" customFormat="false" ht="26.85" hidden="false" customHeight="false" outlineLevel="0" collapsed="false">
      <c r="A222" s="2" t="s">
        <v>890</v>
      </c>
      <c r="B222" s="3" t="s">
        <v>891</v>
      </c>
      <c r="C222" s="3"/>
      <c r="D222" s="3" t="s">
        <v>892</v>
      </c>
      <c r="E222" s="3" t="s">
        <v>17</v>
      </c>
      <c r="F222" s="3"/>
      <c r="G222" s="3" t="n">
        <v>21000</v>
      </c>
      <c r="H222" s="3"/>
      <c r="I222" s="4" t="str">
        <f aca="false">IF(H222="","",ROUND((H222-G222)/H222*100,0))</f>
        <v/>
      </c>
      <c r="J222" s="3" t="s">
        <v>19</v>
      </c>
      <c r="K222" s="3" t="s">
        <v>20</v>
      </c>
      <c r="L222" s="3"/>
      <c r="M222" s="5"/>
      <c r="N222" s="6" t="s">
        <v>893</v>
      </c>
    </row>
    <row r="223" customFormat="false" ht="26.85" hidden="false" customHeight="false" outlineLevel="0" collapsed="false">
      <c r="A223" s="2" t="s">
        <v>894</v>
      </c>
      <c r="B223" s="3" t="s">
        <v>895</v>
      </c>
      <c r="C223" s="3"/>
      <c r="D223" s="3" t="s">
        <v>544</v>
      </c>
      <c r="E223" s="3" t="s">
        <v>17</v>
      </c>
      <c r="F223" s="3"/>
      <c r="G223" s="3" t="n">
        <v>19300</v>
      </c>
      <c r="H223" s="3"/>
      <c r="I223" s="4" t="str">
        <f aca="false">IF(H223="","",ROUND((H223-G223)/H223*100,0))</f>
        <v/>
      </c>
      <c r="J223" s="3" t="s">
        <v>19</v>
      </c>
      <c r="K223" s="3" t="s">
        <v>20</v>
      </c>
      <c r="L223" s="3"/>
      <c r="M223" s="5"/>
      <c r="N223" s="6" t="s">
        <v>896</v>
      </c>
    </row>
    <row r="224" customFormat="false" ht="26.85" hidden="false" customHeight="false" outlineLevel="0" collapsed="false">
      <c r="A224" s="2" t="s">
        <v>897</v>
      </c>
      <c r="B224" s="3" t="s">
        <v>898</v>
      </c>
      <c r="C224" s="3"/>
      <c r="D224" s="3" t="s">
        <v>899</v>
      </c>
      <c r="E224" s="3" t="s">
        <v>17</v>
      </c>
      <c r="F224" s="3" t="s">
        <v>18</v>
      </c>
      <c r="G224" s="3" t="n">
        <v>10500</v>
      </c>
      <c r="H224" s="3"/>
      <c r="I224" s="4" t="str">
        <f aca="false">IF(H224="","",ROUND((H224-G224)/H224*100,0))</f>
        <v/>
      </c>
      <c r="J224" s="3" t="s">
        <v>19</v>
      </c>
      <c r="K224" s="3" t="s">
        <v>20</v>
      </c>
      <c r="L224" s="3"/>
      <c r="M224" s="5"/>
      <c r="N224" s="6" t="s">
        <v>900</v>
      </c>
    </row>
    <row r="225" customFormat="false" ht="26.85" hidden="false" customHeight="false" outlineLevel="0" collapsed="false">
      <c r="A225" s="2" t="s">
        <v>901</v>
      </c>
      <c r="B225" s="3" t="s">
        <v>902</v>
      </c>
      <c r="C225" s="3"/>
      <c r="D225" s="3"/>
      <c r="E225" s="3" t="s">
        <v>17</v>
      </c>
      <c r="F225" s="3"/>
      <c r="G225" s="3" t="n">
        <v>27500</v>
      </c>
      <c r="H225" s="3"/>
      <c r="I225" s="4" t="str">
        <f aca="false">IF(H225="","",ROUND((H225-G225)/H225*100,0))</f>
        <v/>
      </c>
      <c r="J225" s="3" t="s">
        <v>19</v>
      </c>
      <c r="K225" s="3" t="s">
        <v>20</v>
      </c>
      <c r="L225" s="3"/>
      <c r="M225" s="5"/>
      <c r="N225" s="6" t="s">
        <v>903</v>
      </c>
    </row>
    <row r="226" customFormat="false" ht="26.85" hidden="false" customHeight="false" outlineLevel="0" collapsed="false">
      <c r="A226" s="2" t="s">
        <v>904</v>
      </c>
      <c r="B226" s="3" t="s">
        <v>905</v>
      </c>
      <c r="C226" s="3"/>
      <c r="D226" s="3" t="s">
        <v>906</v>
      </c>
      <c r="E226" s="3" t="s">
        <v>325</v>
      </c>
      <c r="F226" s="3"/>
      <c r="G226" s="3" t="n">
        <v>15700</v>
      </c>
      <c r="H226" s="3"/>
      <c r="I226" s="4" t="str">
        <f aca="false">IF(H226="","",ROUND((H226-G226)/H226*100,0))</f>
        <v/>
      </c>
      <c r="J226" s="3" t="s">
        <v>19</v>
      </c>
      <c r="K226" s="3" t="s">
        <v>20</v>
      </c>
      <c r="L226" s="3"/>
      <c r="M226" s="5"/>
      <c r="N226" s="6" t="s">
        <v>907</v>
      </c>
    </row>
    <row r="227" customFormat="false" ht="26.85" hidden="false" customHeight="false" outlineLevel="0" collapsed="false">
      <c r="A227" s="2" t="s">
        <v>908</v>
      </c>
      <c r="B227" s="3" t="s">
        <v>909</v>
      </c>
      <c r="C227" s="3"/>
      <c r="D227" s="3" t="s">
        <v>561</v>
      </c>
      <c r="E227" s="3" t="s">
        <v>325</v>
      </c>
      <c r="F227" s="3"/>
      <c r="G227" s="3" t="n">
        <v>11000</v>
      </c>
      <c r="H227" s="3"/>
      <c r="I227" s="4" t="str">
        <f aca="false">IF(H227="","",ROUND((H227-G227)/H227*100,0))</f>
        <v/>
      </c>
      <c r="J227" s="3" t="s">
        <v>19</v>
      </c>
      <c r="K227" s="3" t="s">
        <v>20</v>
      </c>
      <c r="L227" s="3"/>
      <c r="M227" s="5"/>
      <c r="N227" s="6" t="s">
        <v>910</v>
      </c>
    </row>
    <row r="228" customFormat="false" ht="26.85" hidden="false" customHeight="false" outlineLevel="0" collapsed="false">
      <c r="A228" s="2" t="s">
        <v>911</v>
      </c>
      <c r="B228" s="3" t="s">
        <v>912</v>
      </c>
      <c r="C228" s="3" t="s">
        <v>913</v>
      </c>
      <c r="D228" s="3" t="s">
        <v>914</v>
      </c>
      <c r="E228" s="3" t="s">
        <v>325</v>
      </c>
      <c r="F228" s="3" t="s">
        <v>915</v>
      </c>
      <c r="G228" s="3" t="n">
        <v>13900</v>
      </c>
      <c r="H228" s="3"/>
      <c r="I228" s="4" t="str">
        <f aca="false">IF(H228="","",ROUND((H228-G228)/H228*100,0))</f>
        <v/>
      </c>
      <c r="J228" s="3" t="s">
        <v>19</v>
      </c>
      <c r="K228" s="3" t="s">
        <v>20</v>
      </c>
      <c r="L228" s="3"/>
      <c r="M228" s="5"/>
      <c r="N228" s="6" t="s">
        <v>916</v>
      </c>
    </row>
    <row r="229" customFormat="false" ht="26.85" hidden="false" customHeight="false" outlineLevel="0" collapsed="false">
      <c r="A229" s="2" t="s">
        <v>917</v>
      </c>
      <c r="B229" s="3" t="s">
        <v>918</v>
      </c>
      <c r="C229" s="3" t="s">
        <v>913</v>
      </c>
      <c r="D229" s="3" t="s">
        <v>919</v>
      </c>
      <c r="E229" s="3" t="s">
        <v>325</v>
      </c>
      <c r="F229" s="3" t="s">
        <v>915</v>
      </c>
      <c r="G229" s="3" t="n">
        <v>13700</v>
      </c>
      <c r="H229" s="3"/>
      <c r="I229" s="4" t="str">
        <f aca="false">IF(H229="","",ROUND((H229-G229)/H229*100,0))</f>
        <v/>
      </c>
      <c r="J229" s="3" t="s">
        <v>19</v>
      </c>
      <c r="K229" s="3" t="s">
        <v>20</v>
      </c>
      <c r="L229" s="3"/>
      <c r="M229" s="5"/>
      <c r="N229" s="6" t="s">
        <v>920</v>
      </c>
    </row>
    <row r="230" customFormat="false" ht="26.85" hidden="false" customHeight="false" outlineLevel="0" collapsed="false">
      <c r="A230" s="2" t="s">
        <v>921</v>
      </c>
      <c r="B230" s="3" t="s">
        <v>922</v>
      </c>
      <c r="C230" s="3" t="s">
        <v>923</v>
      </c>
      <c r="D230" s="3" t="s">
        <v>924</v>
      </c>
      <c r="E230" s="3" t="s">
        <v>325</v>
      </c>
      <c r="F230" s="3" t="s">
        <v>925</v>
      </c>
      <c r="G230" s="3" t="n">
        <v>24500</v>
      </c>
      <c r="H230" s="3"/>
      <c r="I230" s="4" t="str">
        <f aca="false">IF(H230="","",ROUND((H230-G230)/H230*100,0))</f>
        <v/>
      </c>
      <c r="J230" s="3" t="s">
        <v>19</v>
      </c>
      <c r="K230" s="3" t="s">
        <v>20</v>
      </c>
      <c r="L230" s="3"/>
      <c r="M230" s="5"/>
      <c r="N230" s="6" t="s">
        <v>926</v>
      </c>
    </row>
    <row r="231" customFormat="false" ht="26.85" hidden="false" customHeight="false" outlineLevel="0" collapsed="false">
      <c r="A231" s="2" t="s">
        <v>927</v>
      </c>
      <c r="B231" s="3" t="s">
        <v>928</v>
      </c>
      <c r="C231" s="3"/>
      <c r="D231" s="3" t="s">
        <v>906</v>
      </c>
      <c r="E231" s="3" t="s">
        <v>325</v>
      </c>
      <c r="F231" s="3"/>
      <c r="G231" s="3" t="n">
        <v>13200</v>
      </c>
      <c r="H231" s="3"/>
      <c r="I231" s="4" t="str">
        <f aca="false">IF(H231="","",ROUND((H231-G231)/H231*100,0))</f>
        <v/>
      </c>
      <c r="J231" s="3" t="s">
        <v>19</v>
      </c>
      <c r="K231" s="3" t="s">
        <v>20</v>
      </c>
      <c r="L231" s="3"/>
      <c r="M231" s="5"/>
      <c r="N231" s="6" t="s">
        <v>929</v>
      </c>
    </row>
    <row r="232" customFormat="false" ht="26.85" hidden="false" customHeight="false" outlineLevel="0" collapsed="false">
      <c r="A232" s="2" t="s">
        <v>930</v>
      </c>
      <c r="B232" s="3" t="s">
        <v>931</v>
      </c>
      <c r="C232" s="3"/>
      <c r="D232" s="3" t="s">
        <v>715</v>
      </c>
      <c r="E232" s="3" t="s">
        <v>17</v>
      </c>
      <c r="F232" s="3"/>
      <c r="G232" s="3" t="n">
        <v>3500</v>
      </c>
      <c r="H232" s="3"/>
      <c r="I232" s="4" t="str">
        <f aca="false">IF(H232="","",ROUND((H232-G232)/H232*100,0))</f>
        <v/>
      </c>
      <c r="J232" s="3" t="s">
        <v>19</v>
      </c>
      <c r="K232" s="3" t="s">
        <v>20</v>
      </c>
      <c r="L232" s="3"/>
      <c r="M232" s="5"/>
      <c r="N232" s="6" t="s">
        <v>932</v>
      </c>
    </row>
    <row r="233" customFormat="false" ht="26.85" hidden="false" customHeight="false" outlineLevel="0" collapsed="false">
      <c r="A233" s="2" t="s">
        <v>933</v>
      </c>
      <c r="B233" s="3" t="s">
        <v>934</v>
      </c>
      <c r="C233" s="3"/>
      <c r="D233" s="3" t="s">
        <v>935</v>
      </c>
      <c r="E233" s="3" t="s">
        <v>17</v>
      </c>
      <c r="F233" s="3"/>
      <c r="G233" s="3" t="n">
        <v>16500</v>
      </c>
      <c r="H233" s="3"/>
      <c r="I233" s="4" t="str">
        <f aca="false">IF(H233="","",ROUND((H233-G233)/H233*100,0))</f>
        <v/>
      </c>
      <c r="J233" s="3" t="s">
        <v>19</v>
      </c>
      <c r="K233" s="3" t="s">
        <v>20</v>
      </c>
      <c r="L233" s="3"/>
      <c r="M233" s="5"/>
      <c r="N233" s="6" t="s">
        <v>936</v>
      </c>
    </row>
    <row r="234" customFormat="false" ht="26.85" hidden="false" customHeight="false" outlineLevel="0" collapsed="false">
      <c r="A234" s="2" t="s">
        <v>937</v>
      </c>
      <c r="B234" s="3" t="s">
        <v>938</v>
      </c>
      <c r="C234" s="3"/>
      <c r="D234" s="3" t="s">
        <v>939</v>
      </c>
      <c r="E234" s="3" t="s">
        <v>36</v>
      </c>
      <c r="F234" s="3"/>
      <c r="G234" s="3" t="n">
        <v>52000</v>
      </c>
      <c r="H234" s="3"/>
      <c r="I234" s="4" t="str">
        <f aca="false">IF(H234="","",ROUND((H234-G234)/H234*100,0))</f>
        <v/>
      </c>
      <c r="J234" s="3" t="s">
        <v>19</v>
      </c>
      <c r="K234" s="3" t="s">
        <v>20</v>
      </c>
      <c r="L234" s="3"/>
      <c r="M234" s="5"/>
      <c r="N234" s="6" t="s">
        <v>940</v>
      </c>
    </row>
    <row r="235" customFormat="false" ht="26.85" hidden="false" customHeight="false" outlineLevel="0" collapsed="false">
      <c r="A235" s="2" t="s">
        <v>941</v>
      </c>
      <c r="B235" s="3" t="s">
        <v>942</v>
      </c>
      <c r="C235" s="3"/>
      <c r="D235" s="3" t="s">
        <v>943</v>
      </c>
      <c r="E235" s="3" t="s">
        <v>36</v>
      </c>
      <c r="F235" s="3"/>
      <c r="G235" s="3" t="n">
        <v>240000</v>
      </c>
      <c r="H235" s="3"/>
      <c r="I235" s="4" t="str">
        <f aca="false">IF(H235="","",ROUND((H235-G235)/H235*100,0))</f>
        <v/>
      </c>
      <c r="J235" s="3" t="s">
        <v>19</v>
      </c>
      <c r="K235" s="3" t="s">
        <v>20</v>
      </c>
      <c r="L235" s="3"/>
      <c r="M235" s="5"/>
      <c r="N235" s="6" t="s">
        <v>944</v>
      </c>
    </row>
    <row r="236" customFormat="false" ht="26.85" hidden="false" customHeight="false" outlineLevel="0" collapsed="false">
      <c r="A236" s="2" t="s">
        <v>945</v>
      </c>
      <c r="B236" s="3" t="s">
        <v>946</v>
      </c>
      <c r="C236" s="3"/>
      <c r="D236" s="3" t="s">
        <v>939</v>
      </c>
      <c r="E236" s="3" t="s">
        <v>36</v>
      </c>
      <c r="F236" s="3"/>
      <c r="G236" s="3" t="n">
        <v>96300</v>
      </c>
      <c r="H236" s="3"/>
      <c r="I236" s="4" t="str">
        <f aca="false">IF(H236="","",ROUND((H236-G236)/H236*100,0))</f>
        <v/>
      </c>
      <c r="J236" s="3" t="s">
        <v>19</v>
      </c>
      <c r="K236" s="3" t="s">
        <v>20</v>
      </c>
      <c r="L236" s="3"/>
      <c r="M236" s="5"/>
      <c r="N236" s="6" t="s">
        <v>947</v>
      </c>
    </row>
    <row r="237" customFormat="false" ht="26.85" hidden="false" customHeight="false" outlineLevel="0" collapsed="false">
      <c r="A237" s="2" t="s">
        <v>948</v>
      </c>
      <c r="B237" s="3" t="s">
        <v>949</v>
      </c>
      <c r="C237" s="3"/>
      <c r="D237" s="3" t="s">
        <v>950</v>
      </c>
      <c r="E237" s="3" t="s">
        <v>36</v>
      </c>
      <c r="F237" s="3"/>
      <c r="G237" s="3" t="n">
        <v>27700</v>
      </c>
      <c r="H237" s="3"/>
      <c r="I237" s="4" t="str">
        <f aca="false">IF(H237="","",ROUND((H237-G237)/H237*100,0))</f>
        <v/>
      </c>
      <c r="J237" s="3" t="s">
        <v>19</v>
      </c>
      <c r="K237" s="3" t="s">
        <v>20</v>
      </c>
      <c r="L237" s="3"/>
      <c r="M237" s="5"/>
      <c r="N237" s="6" t="s">
        <v>951</v>
      </c>
    </row>
    <row r="238" customFormat="false" ht="26.85" hidden="false" customHeight="false" outlineLevel="0" collapsed="false">
      <c r="A238" s="2" t="s">
        <v>952</v>
      </c>
      <c r="B238" s="3" t="s">
        <v>953</v>
      </c>
      <c r="C238" s="3"/>
      <c r="D238" s="3" t="s">
        <v>460</v>
      </c>
      <c r="E238" s="3" t="s">
        <v>17</v>
      </c>
      <c r="F238" s="3"/>
      <c r="G238" s="3" t="n">
        <v>20500</v>
      </c>
      <c r="H238" s="3"/>
      <c r="I238" s="4" t="str">
        <f aca="false">IF(H238="","",ROUND((H238-G238)/H238*100,0))</f>
        <v/>
      </c>
      <c r="J238" s="3" t="s">
        <v>19</v>
      </c>
      <c r="K238" s="3" t="s">
        <v>20</v>
      </c>
      <c r="L238" s="3"/>
      <c r="M238" s="5"/>
      <c r="N238" s="6" t="s">
        <v>954</v>
      </c>
    </row>
    <row r="239" customFormat="false" ht="26.85" hidden="false" customHeight="false" outlineLevel="0" collapsed="false">
      <c r="A239" s="2" t="s">
        <v>955</v>
      </c>
      <c r="B239" s="3" t="s">
        <v>956</v>
      </c>
      <c r="C239" s="3"/>
      <c r="D239" s="3" t="s">
        <v>261</v>
      </c>
      <c r="E239" s="3" t="s">
        <v>17</v>
      </c>
      <c r="F239" s="3" t="s">
        <v>365</v>
      </c>
      <c r="G239" s="3" t="n">
        <v>57500</v>
      </c>
      <c r="H239" s="3"/>
      <c r="I239" s="4" t="str">
        <f aca="false">IF(H239="","",ROUND((H239-G239)/H239*100,0))</f>
        <v/>
      </c>
      <c r="J239" s="3" t="s">
        <v>19</v>
      </c>
      <c r="K239" s="3" t="s">
        <v>20</v>
      </c>
      <c r="L239" s="3"/>
      <c r="M239" s="5"/>
      <c r="N239" s="6" t="s">
        <v>957</v>
      </c>
    </row>
    <row r="240" customFormat="false" ht="26.85" hidden="false" customHeight="false" outlineLevel="0" collapsed="false">
      <c r="A240" s="2" t="s">
        <v>958</v>
      </c>
      <c r="B240" s="3" t="s">
        <v>959</v>
      </c>
      <c r="C240" s="3"/>
      <c r="D240" s="3" t="s">
        <v>960</v>
      </c>
      <c r="E240" s="3" t="s">
        <v>17</v>
      </c>
      <c r="F240" s="3"/>
      <c r="G240" s="3" t="n">
        <v>33100</v>
      </c>
      <c r="H240" s="3"/>
      <c r="I240" s="4" t="str">
        <f aca="false">IF(H240="","",ROUND((H240-G240)/H240*100,0))</f>
        <v/>
      </c>
      <c r="J240" s="3" t="s">
        <v>19</v>
      </c>
      <c r="K240" s="3" t="s">
        <v>20</v>
      </c>
      <c r="L240" s="3"/>
      <c r="M240" s="5"/>
      <c r="N240" s="6" t="s">
        <v>961</v>
      </c>
    </row>
    <row r="241" customFormat="false" ht="26.85" hidden="false" customHeight="false" outlineLevel="0" collapsed="false">
      <c r="A241" s="2" t="s">
        <v>962</v>
      </c>
      <c r="B241" s="3" t="s">
        <v>963</v>
      </c>
      <c r="C241" s="3"/>
      <c r="D241" s="3" t="s">
        <v>964</v>
      </c>
      <c r="E241" s="3" t="s">
        <v>17</v>
      </c>
      <c r="F241" s="3" t="s">
        <v>755</v>
      </c>
      <c r="G241" s="3" t="n">
        <v>48900</v>
      </c>
      <c r="H241" s="3"/>
      <c r="I241" s="4" t="str">
        <f aca="false">IF(H241="","",ROUND((H241-G241)/H241*100,0))</f>
        <v/>
      </c>
      <c r="J241" s="3" t="s">
        <v>19</v>
      </c>
      <c r="K241" s="3" t="s">
        <v>20</v>
      </c>
      <c r="L241" s="3"/>
      <c r="M241" s="5"/>
      <c r="N241" s="6" t="s">
        <v>965</v>
      </c>
    </row>
    <row r="242" customFormat="false" ht="26.85" hidden="false" customHeight="false" outlineLevel="0" collapsed="false">
      <c r="A242" s="2" t="s">
        <v>966</v>
      </c>
      <c r="B242" s="3" t="s">
        <v>967</v>
      </c>
      <c r="C242" s="3"/>
      <c r="D242" s="3" t="s">
        <v>968</v>
      </c>
      <c r="E242" s="3" t="s">
        <v>17</v>
      </c>
      <c r="F242" s="3"/>
      <c r="G242" s="3" t="n">
        <v>21300</v>
      </c>
      <c r="H242" s="3"/>
      <c r="I242" s="4" t="str">
        <f aca="false">IF(H242="","",ROUND((H242-G242)/H242*100,0))</f>
        <v/>
      </c>
      <c r="J242" s="3" t="s">
        <v>19</v>
      </c>
      <c r="K242" s="3" t="s">
        <v>20</v>
      </c>
      <c r="L242" s="3"/>
      <c r="M242" s="5"/>
      <c r="N242" s="6" t="s">
        <v>969</v>
      </c>
    </row>
    <row r="243" customFormat="false" ht="26.85" hidden="false" customHeight="false" outlineLevel="0" collapsed="false">
      <c r="A243" s="2" t="s">
        <v>970</v>
      </c>
      <c r="B243" s="3" t="s">
        <v>971</v>
      </c>
      <c r="C243" s="3" t="s">
        <v>972</v>
      </c>
      <c r="D243" s="3" t="s">
        <v>973</v>
      </c>
      <c r="E243" s="3" t="s">
        <v>325</v>
      </c>
      <c r="F243" s="3" t="s">
        <v>83</v>
      </c>
      <c r="G243" s="3" t="n">
        <v>81900</v>
      </c>
      <c r="H243" s="3"/>
      <c r="I243" s="4" t="str">
        <f aca="false">IF(H243="","",ROUND((H243-G243)/H243*100,0))</f>
        <v/>
      </c>
      <c r="J243" s="3" t="s">
        <v>19</v>
      </c>
      <c r="K243" s="3" t="s">
        <v>20</v>
      </c>
      <c r="L243" s="3"/>
      <c r="M243" s="5"/>
      <c r="N243" s="6" t="s">
        <v>974</v>
      </c>
    </row>
    <row r="244" customFormat="false" ht="39.55" hidden="false" customHeight="false" outlineLevel="0" collapsed="false">
      <c r="A244" s="2" t="s">
        <v>975</v>
      </c>
      <c r="B244" s="3" t="s">
        <v>976</v>
      </c>
      <c r="C244" s="3" t="s">
        <v>972</v>
      </c>
      <c r="D244" s="3" t="s">
        <v>242</v>
      </c>
      <c r="E244" s="3" t="s">
        <v>17</v>
      </c>
      <c r="F244" s="3" t="s">
        <v>83</v>
      </c>
      <c r="G244" s="3" t="n">
        <v>33500</v>
      </c>
      <c r="H244" s="3"/>
      <c r="I244" s="4" t="str">
        <f aca="false">IF(H244="","",ROUND((H244-G244)/H244*100,0))</f>
        <v/>
      </c>
      <c r="J244" s="3" t="s">
        <v>19</v>
      </c>
      <c r="K244" s="3" t="s">
        <v>20</v>
      </c>
      <c r="L244" s="3"/>
      <c r="M244" s="5"/>
      <c r="N244" s="6" t="s">
        <v>977</v>
      </c>
    </row>
    <row r="245" customFormat="false" ht="26.85" hidden="false" customHeight="false" outlineLevel="0" collapsed="false">
      <c r="A245" s="2" t="s">
        <v>978</v>
      </c>
      <c r="B245" s="3" t="s">
        <v>979</v>
      </c>
      <c r="C245" s="3"/>
      <c r="D245" s="3" t="s">
        <v>980</v>
      </c>
      <c r="E245" s="3" t="s">
        <v>17</v>
      </c>
      <c r="F245" s="3" t="s">
        <v>365</v>
      </c>
      <c r="G245" s="3" t="n">
        <v>31500</v>
      </c>
      <c r="H245" s="3"/>
      <c r="I245" s="4" t="str">
        <f aca="false">IF(H245="","",ROUND((H245-G245)/H245*100,0))</f>
        <v/>
      </c>
      <c r="J245" s="3" t="s">
        <v>19</v>
      </c>
      <c r="K245" s="3" t="s">
        <v>20</v>
      </c>
      <c r="L245" s="3"/>
      <c r="M245" s="5"/>
      <c r="N245" s="6" t="s">
        <v>981</v>
      </c>
    </row>
    <row r="246" customFormat="false" ht="26.85" hidden="false" customHeight="false" outlineLevel="0" collapsed="false">
      <c r="A246" s="2" t="s">
        <v>982</v>
      </c>
      <c r="B246" s="3" t="s">
        <v>983</v>
      </c>
      <c r="C246" s="3"/>
      <c r="D246" s="3" t="s">
        <v>292</v>
      </c>
      <c r="E246" s="3" t="s">
        <v>17</v>
      </c>
      <c r="F246" s="3" t="s">
        <v>161</v>
      </c>
      <c r="G246" s="3" t="n">
        <v>9900</v>
      </c>
      <c r="H246" s="3"/>
      <c r="I246" s="4" t="str">
        <f aca="false">IF(H246="","",ROUND((H246-G246)/H246*100,0))</f>
        <v/>
      </c>
      <c r="J246" s="3" t="s">
        <v>19</v>
      </c>
      <c r="K246" s="3" t="s">
        <v>20</v>
      </c>
      <c r="L246" s="3"/>
      <c r="M246" s="5"/>
      <c r="N246" s="6" t="s">
        <v>984</v>
      </c>
    </row>
    <row r="247" customFormat="false" ht="26.85" hidden="false" customHeight="false" outlineLevel="0" collapsed="false">
      <c r="A247" s="2" t="s">
        <v>985</v>
      </c>
      <c r="B247" s="3" t="s">
        <v>986</v>
      </c>
      <c r="C247" s="3"/>
      <c r="D247" s="3" t="s">
        <v>731</v>
      </c>
      <c r="E247" s="3" t="s">
        <v>17</v>
      </c>
      <c r="F247" s="3"/>
      <c r="G247" s="3" t="n">
        <v>26500</v>
      </c>
      <c r="H247" s="3"/>
      <c r="I247" s="4" t="str">
        <f aca="false">IF(H247="","",ROUND((H247-G247)/H247*100,0))</f>
        <v/>
      </c>
      <c r="J247" s="3" t="s">
        <v>19</v>
      </c>
      <c r="K247" s="3" t="s">
        <v>20</v>
      </c>
      <c r="L247" s="3"/>
      <c r="M247" s="5"/>
      <c r="N247" s="6" t="s">
        <v>987</v>
      </c>
    </row>
    <row r="248" customFormat="false" ht="26.85" hidden="false" customHeight="false" outlineLevel="0" collapsed="false">
      <c r="A248" s="2" t="s">
        <v>988</v>
      </c>
      <c r="B248" s="3" t="s">
        <v>989</v>
      </c>
      <c r="C248" s="3"/>
      <c r="D248" s="3" t="s">
        <v>990</v>
      </c>
      <c r="E248" s="3" t="s">
        <v>17</v>
      </c>
      <c r="F248" s="3"/>
      <c r="G248" s="3" t="n">
        <v>11800</v>
      </c>
      <c r="H248" s="3"/>
      <c r="I248" s="4" t="str">
        <f aca="false">IF(H248="","",ROUND((H248-G248)/H248*100,0))</f>
        <v/>
      </c>
      <c r="J248" s="3" t="s">
        <v>19</v>
      </c>
      <c r="K248" s="3" t="s">
        <v>20</v>
      </c>
      <c r="L248" s="3"/>
      <c r="M248" s="5"/>
      <c r="N248" s="6" t="s">
        <v>991</v>
      </c>
    </row>
    <row r="249" customFormat="false" ht="26.85" hidden="false" customHeight="false" outlineLevel="0" collapsed="false">
      <c r="A249" s="2" t="s">
        <v>992</v>
      </c>
      <c r="B249" s="3" t="s">
        <v>993</v>
      </c>
      <c r="C249" s="3"/>
      <c r="D249" s="3" t="s">
        <v>994</v>
      </c>
      <c r="E249" s="3" t="s">
        <v>17</v>
      </c>
      <c r="F249" s="3"/>
      <c r="G249" s="3" t="n">
        <v>31500</v>
      </c>
      <c r="H249" s="3"/>
      <c r="I249" s="4" t="str">
        <f aca="false">IF(H249="","",ROUND((H249-G249)/H249*100,0))</f>
        <v/>
      </c>
      <c r="J249" s="3" t="s">
        <v>19</v>
      </c>
      <c r="K249" s="3" t="s">
        <v>20</v>
      </c>
      <c r="L249" s="3"/>
      <c r="M249" s="5"/>
      <c r="N249" s="6" t="s">
        <v>995</v>
      </c>
    </row>
    <row r="250" customFormat="false" ht="26.85" hidden="false" customHeight="false" outlineLevel="0" collapsed="false">
      <c r="A250" s="2" t="s">
        <v>996</v>
      </c>
      <c r="B250" s="3" t="s">
        <v>997</v>
      </c>
      <c r="C250" s="3"/>
      <c r="D250" s="3" t="s">
        <v>998</v>
      </c>
      <c r="E250" s="3" t="s">
        <v>17</v>
      </c>
      <c r="F250" s="3"/>
      <c r="G250" s="3" t="n">
        <v>7500</v>
      </c>
      <c r="H250" s="3"/>
      <c r="I250" s="4" t="str">
        <f aca="false">IF(H250="","",ROUND((H250-G250)/H250*100,0))</f>
        <v/>
      </c>
      <c r="J250" s="3" t="s">
        <v>19</v>
      </c>
      <c r="K250" s="3" t="s">
        <v>20</v>
      </c>
      <c r="L250" s="3"/>
      <c r="M250" s="5"/>
      <c r="N250" s="6" t="s">
        <v>999</v>
      </c>
    </row>
    <row r="251" customFormat="false" ht="26.85" hidden="false" customHeight="false" outlineLevel="0" collapsed="false">
      <c r="A251" s="2" t="s">
        <v>1000</v>
      </c>
      <c r="B251" s="3" t="s">
        <v>1001</v>
      </c>
      <c r="C251" s="3"/>
      <c r="D251" s="3" t="s">
        <v>1002</v>
      </c>
      <c r="E251" s="3" t="s">
        <v>17</v>
      </c>
      <c r="F251" s="3"/>
      <c r="G251" s="3" t="n">
        <v>33000</v>
      </c>
      <c r="H251" s="3"/>
      <c r="I251" s="4" t="str">
        <f aca="false">IF(H251="","",ROUND((H251-G251)/H251*100,0))</f>
        <v/>
      </c>
      <c r="J251" s="3" t="s">
        <v>19</v>
      </c>
      <c r="K251" s="3" t="s">
        <v>20</v>
      </c>
      <c r="L251" s="3"/>
      <c r="M251" s="5"/>
      <c r="N251" s="6" t="s">
        <v>1003</v>
      </c>
    </row>
    <row r="252" customFormat="false" ht="26.85" hidden="false" customHeight="false" outlineLevel="0" collapsed="false">
      <c r="A252" s="2" t="s">
        <v>1004</v>
      </c>
      <c r="B252" s="3" t="s">
        <v>1005</v>
      </c>
      <c r="C252" s="3"/>
      <c r="D252" s="3" t="s">
        <v>1006</v>
      </c>
      <c r="E252" s="3" t="s">
        <v>17</v>
      </c>
      <c r="F252" s="3" t="s">
        <v>1007</v>
      </c>
      <c r="G252" s="3" t="n">
        <v>12800</v>
      </c>
      <c r="H252" s="3"/>
      <c r="I252" s="4" t="str">
        <f aca="false">IF(H252="","",ROUND((H252-G252)/H252*100,0))</f>
        <v/>
      </c>
      <c r="J252" s="3" t="s">
        <v>19</v>
      </c>
      <c r="K252" s="3" t="s">
        <v>20</v>
      </c>
      <c r="L252" s="3"/>
      <c r="M252" s="5"/>
      <c r="N252" s="6" t="s">
        <v>1008</v>
      </c>
    </row>
    <row r="253" customFormat="false" ht="26.85" hidden="false" customHeight="false" outlineLevel="0" collapsed="false">
      <c r="A253" s="2" t="s">
        <v>1009</v>
      </c>
      <c r="B253" s="3" t="s">
        <v>1010</v>
      </c>
      <c r="C253" s="3"/>
      <c r="D253" s="3" t="s">
        <v>199</v>
      </c>
      <c r="E253" s="3" t="s">
        <v>17</v>
      </c>
      <c r="F253" s="3"/>
      <c r="G253" s="3" t="n">
        <v>12800</v>
      </c>
      <c r="H253" s="3"/>
      <c r="I253" s="4" t="str">
        <f aca="false">IF(H253="","",ROUND((H253-G253)/H253*100,0))</f>
        <v/>
      </c>
      <c r="J253" s="3" t="s">
        <v>19</v>
      </c>
      <c r="K253" s="3" t="s">
        <v>20</v>
      </c>
      <c r="L253" s="3"/>
      <c r="M253" s="5"/>
      <c r="N253" s="6" t="s">
        <v>1011</v>
      </c>
    </row>
    <row r="254" customFormat="false" ht="26.85" hidden="false" customHeight="false" outlineLevel="0" collapsed="false">
      <c r="A254" s="2" t="s">
        <v>1012</v>
      </c>
      <c r="B254" s="3" t="s">
        <v>1013</v>
      </c>
      <c r="C254" s="3"/>
      <c r="D254" s="3" t="s">
        <v>292</v>
      </c>
      <c r="E254" s="3" t="s">
        <v>17</v>
      </c>
      <c r="F254" s="3" t="s">
        <v>161</v>
      </c>
      <c r="G254" s="3" t="n">
        <v>11600</v>
      </c>
      <c r="H254" s="3"/>
      <c r="I254" s="4" t="str">
        <f aca="false">IF(H254="","",ROUND((H254-G254)/H254*100,0))</f>
        <v/>
      </c>
      <c r="J254" s="3" t="s">
        <v>19</v>
      </c>
      <c r="K254" s="3" t="s">
        <v>20</v>
      </c>
      <c r="L254" s="3"/>
      <c r="M254" s="5"/>
      <c r="N254" s="6" t="s">
        <v>1014</v>
      </c>
    </row>
    <row r="255" customFormat="false" ht="26.85" hidden="false" customHeight="false" outlineLevel="0" collapsed="false">
      <c r="A255" s="2" t="s">
        <v>1015</v>
      </c>
      <c r="B255" s="3" t="s">
        <v>1016</v>
      </c>
      <c r="C255" s="3"/>
      <c r="D255" s="3" t="s">
        <v>1017</v>
      </c>
      <c r="E255" s="3" t="s">
        <v>17</v>
      </c>
      <c r="F255" s="3"/>
      <c r="G255" s="3" t="n">
        <v>9900</v>
      </c>
      <c r="H255" s="3"/>
      <c r="I255" s="4" t="str">
        <f aca="false">IF(H255="","",ROUND((H255-G255)/H255*100,0))</f>
        <v/>
      </c>
      <c r="J255" s="3" t="s">
        <v>19</v>
      </c>
      <c r="K255" s="3" t="s">
        <v>20</v>
      </c>
      <c r="L255" s="3"/>
      <c r="M255" s="5"/>
      <c r="N255" s="6" t="s">
        <v>1018</v>
      </c>
    </row>
    <row r="256" customFormat="false" ht="26.85" hidden="false" customHeight="false" outlineLevel="0" collapsed="false">
      <c r="A256" s="2" t="s">
        <v>1019</v>
      </c>
      <c r="B256" s="3" t="s">
        <v>1020</v>
      </c>
      <c r="C256" s="3"/>
      <c r="D256" s="3" t="s">
        <v>1021</v>
      </c>
      <c r="E256" s="3" t="s">
        <v>17</v>
      </c>
      <c r="F256" s="3"/>
      <c r="G256" s="3" t="n">
        <v>40900</v>
      </c>
      <c r="H256" s="3"/>
      <c r="I256" s="4" t="str">
        <f aca="false">IF(H256="","",ROUND((H256-G256)/H256*100,0))</f>
        <v/>
      </c>
      <c r="J256" s="3" t="s">
        <v>19</v>
      </c>
      <c r="K256" s="3" t="s">
        <v>20</v>
      </c>
      <c r="L256" s="3"/>
      <c r="M256" s="5"/>
      <c r="N256" s="6" t="s">
        <v>1022</v>
      </c>
    </row>
    <row r="257" customFormat="false" ht="26.85" hidden="false" customHeight="false" outlineLevel="0" collapsed="false">
      <c r="A257" s="2" t="s">
        <v>1023</v>
      </c>
      <c r="B257" s="3" t="s">
        <v>750</v>
      </c>
      <c r="C257" s="3"/>
      <c r="D257" s="3" t="s">
        <v>369</v>
      </c>
      <c r="E257" s="3" t="s">
        <v>17</v>
      </c>
      <c r="F257" s="3"/>
      <c r="G257" s="3" t="n">
        <v>54500</v>
      </c>
      <c r="H257" s="3"/>
      <c r="I257" s="4" t="str">
        <f aca="false">IF(H257="","",ROUND((H257-G257)/H257*100,0))</f>
        <v/>
      </c>
      <c r="J257" s="3" t="s">
        <v>19</v>
      </c>
      <c r="K257" s="3" t="s">
        <v>20</v>
      </c>
      <c r="L257" s="3"/>
      <c r="M257" s="5"/>
      <c r="N257" s="6" t="s">
        <v>751</v>
      </c>
    </row>
    <row r="258" customFormat="false" ht="26.85" hidden="false" customHeight="false" outlineLevel="0" collapsed="false">
      <c r="A258" s="2" t="s">
        <v>1024</v>
      </c>
      <c r="B258" s="3" t="s">
        <v>1025</v>
      </c>
      <c r="C258" s="3"/>
      <c r="D258" s="3" t="s">
        <v>292</v>
      </c>
      <c r="E258" s="3" t="s">
        <v>17</v>
      </c>
      <c r="F258" s="3" t="s">
        <v>46</v>
      </c>
      <c r="G258" s="3" t="n">
        <v>5900</v>
      </c>
      <c r="H258" s="3"/>
      <c r="I258" s="4" t="str">
        <f aca="false">IF(H258="","",ROUND((H258-G258)/H258*100,0))</f>
        <v/>
      </c>
      <c r="J258" s="3" t="s">
        <v>19</v>
      </c>
      <c r="K258" s="3" t="s">
        <v>20</v>
      </c>
      <c r="L258" s="3"/>
      <c r="M258" s="5"/>
      <c r="N258" s="6" t="s">
        <v>1026</v>
      </c>
    </row>
    <row r="259" customFormat="false" ht="26.85" hidden="false" customHeight="false" outlineLevel="0" collapsed="false">
      <c r="A259" s="2" t="s">
        <v>1027</v>
      </c>
      <c r="B259" s="3" t="s">
        <v>1028</v>
      </c>
      <c r="C259" s="3"/>
      <c r="D259" s="3" t="s">
        <v>1029</v>
      </c>
      <c r="E259" s="3" t="s">
        <v>17</v>
      </c>
      <c r="F259" s="3" t="s">
        <v>46</v>
      </c>
      <c r="G259" s="3" t="n">
        <v>17500</v>
      </c>
      <c r="H259" s="3"/>
      <c r="I259" s="4" t="str">
        <f aca="false">IF(H259="","",ROUND((H259-G259)/H259*100,0))</f>
        <v/>
      </c>
      <c r="J259" s="3" t="s">
        <v>19</v>
      </c>
      <c r="K259" s="3" t="s">
        <v>20</v>
      </c>
      <c r="L259" s="3"/>
      <c r="M259" s="5"/>
      <c r="N259" s="6" t="s">
        <v>1030</v>
      </c>
    </row>
    <row r="260" customFormat="false" ht="39.55" hidden="false" customHeight="false" outlineLevel="0" collapsed="false">
      <c r="A260" s="2" t="s">
        <v>1031</v>
      </c>
      <c r="B260" s="3" t="s">
        <v>1032</v>
      </c>
      <c r="C260" s="3"/>
      <c r="D260" s="3" t="s">
        <v>1033</v>
      </c>
      <c r="E260" s="3" t="s">
        <v>17</v>
      </c>
      <c r="F260" s="3" t="s">
        <v>46</v>
      </c>
      <c r="G260" s="3" t="n">
        <v>14500</v>
      </c>
      <c r="H260" s="3"/>
      <c r="I260" s="4" t="str">
        <f aca="false">IF(H260="","",ROUND((H260-G260)/H260*100,0))</f>
        <v/>
      </c>
      <c r="J260" s="3" t="s">
        <v>19</v>
      </c>
      <c r="K260" s="3" t="s">
        <v>20</v>
      </c>
      <c r="L260" s="3"/>
      <c r="M260" s="5"/>
      <c r="N260" s="6" t="s">
        <v>1034</v>
      </c>
    </row>
    <row r="261" customFormat="false" ht="26.85" hidden="false" customHeight="false" outlineLevel="0" collapsed="false">
      <c r="A261" s="2" t="s">
        <v>1035</v>
      </c>
      <c r="B261" s="3" t="s">
        <v>1036</v>
      </c>
      <c r="C261" s="3"/>
      <c r="D261" s="3" t="s">
        <v>1037</v>
      </c>
      <c r="E261" s="3" t="s">
        <v>17</v>
      </c>
      <c r="F261" s="3"/>
      <c r="G261" s="3" t="n">
        <v>43500</v>
      </c>
      <c r="H261" s="3"/>
      <c r="I261" s="4" t="str">
        <f aca="false">IF(H261="","",ROUND((H261-G261)/H261*100,0))</f>
        <v/>
      </c>
      <c r="J261" s="3" t="s">
        <v>19</v>
      </c>
      <c r="K261" s="3" t="s">
        <v>20</v>
      </c>
      <c r="L261" s="3"/>
      <c r="M261" s="5"/>
      <c r="N261" s="6" t="s">
        <v>1038</v>
      </c>
    </row>
    <row r="262" customFormat="false" ht="26.85" hidden="false" customHeight="false" outlineLevel="0" collapsed="false">
      <c r="A262" s="2" t="s">
        <v>1039</v>
      </c>
      <c r="B262" s="3" t="s">
        <v>1040</v>
      </c>
      <c r="C262" s="3"/>
      <c r="D262" s="3" t="s">
        <v>1041</v>
      </c>
      <c r="E262" s="3" t="s">
        <v>17</v>
      </c>
      <c r="F262" s="3"/>
      <c r="G262" s="3" t="n">
        <v>17200</v>
      </c>
      <c r="H262" s="3"/>
      <c r="I262" s="4" t="str">
        <f aca="false">IF(H262="","",ROUND((H262-G262)/H262*100,0))</f>
        <v/>
      </c>
      <c r="J262" s="3" t="s">
        <v>19</v>
      </c>
      <c r="K262" s="3" t="s">
        <v>20</v>
      </c>
      <c r="L262" s="3"/>
      <c r="M262" s="5"/>
      <c r="N262" s="6" t="s">
        <v>1042</v>
      </c>
    </row>
    <row r="263" customFormat="false" ht="26.85" hidden="false" customHeight="false" outlineLevel="0" collapsed="false">
      <c r="A263" s="2" t="s">
        <v>1043</v>
      </c>
      <c r="B263" s="3" t="s">
        <v>1044</v>
      </c>
      <c r="C263" s="3"/>
      <c r="D263" s="3" t="s">
        <v>437</v>
      </c>
      <c r="E263" s="3" t="s">
        <v>17</v>
      </c>
      <c r="F263" s="3"/>
      <c r="G263" s="3" t="n">
        <v>4900</v>
      </c>
      <c r="H263" s="3"/>
      <c r="I263" s="4" t="str">
        <f aca="false">IF(H263="","",ROUND((H263-G263)/H263*100,0))</f>
        <v/>
      </c>
      <c r="J263" s="3" t="s">
        <v>19</v>
      </c>
      <c r="K263" s="3" t="s">
        <v>20</v>
      </c>
      <c r="L263" s="3"/>
      <c r="M263" s="5"/>
      <c r="N263" s="6" t="s">
        <v>1045</v>
      </c>
    </row>
    <row r="264" customFormat="false" ht="26.85" hidden="false" customHeight="false" outlineLevel="0" collapsed="false">
      <c r="A264" s="2" t="s">
        <v>1046</v>
      </c>
      <c r="B264" s="3" t="s">
        <v>1047</v>
      </c>
      <c r="C264" s="3"/>
      <c r="D264" s="3" t="s">
        <v>1048</v>
      </c>
      <c r="E264" s="3" t="s">
        <v>17</v>
      </c>
      <c r="F264" s="3"/>
      <c r="G264" s="3" t="n">
        <v>19000</v>
      </c>
      <c r="H264" s="3"/>
      <c r="I264" s="4" t="str">
        <f aca="false">IF(H264="","",ROUND((H264-G264)/H264*100,0))</f>
        <v/>
      </c>
      <c r="J264" s="3" t="s">
        <v>19</v>
      </c>
      <c r="K264" s="3" t="s">
        <v>20</v>
      </c>
      <c r="L264" s="3"/>
      <c r="M264" s="5"/>
      <c r="N264" s="6" t="s">
        <v>1049</v>
      </c>
    </row>
    <row r="265" customFormat="false" ht="26.85" hidden="false" customHeight="false" outlineLevel="0" collapsed="false">
      <c r="A265" s="2" t="s">
        <v>1050</v>
      </c>
      <c r="B265" s="3" t="s">
        <v>1051</v>
      </c>
      <c r="C265" s="3"/>
      <c r="D265" s="3" t="s">
        <v>791</v>
      </c>
      <c r="E265" s="3" t="s">
        <v>25</v>
      </c>
      <c r="F265" s="3" t="s">
        <v>92</v>
      </c>
      <c r="G265" s="3" t="n">
        <v>20900</v>
      </c>
      <c r="H265" s="3"/>
      <c r="I265" s="4" t="str">
        <f aca="false">IF(H265="","",ROUND((H265-G265)/H265*100,0))</f>
        <v/>
      </c>
      <c r="J265" s="3" t="s">
        <v>19</v>
      </c>
      <c r="K265" s="3" t="s">
        <v>20</v>
      </c>
      <c r="L265" s="3"/>
      <c r="M265" s="5"/>
      <c r="N265" s="6" t="s">
        <v>1052</v>
      </c>
    </row>
    <row r="266" customFormat="false" ht="26.85" hidden="false" customHeight="false" outlineLevel="0" collapsed="false">
      <c r="A266" s="2" t="s">
        <v>1053</v>
      </c>
      <c r="B266" s="3" t="s">
        <v>1054</v>
      </c>
      <c r="C266" s="3"/>
      <c r="D266" s="3" t="s">
        <v>1055</v>
      </c>
      <c r="E266" s="3" t="s">
        <v>25</v>
      </c>
      <c r="F266" s="3"/>
      <c r="G266" s="3" t="n">
        <v>39000</v>
      </c>
      <c r="H266" s="3"/>
      <c r="I266" s="4" t="str">
        <f aca="false">IF(H266="","",ROUND((H266-G266)/H266*100,0))</f>
        <v/>
      </c>
      <c r="J266" s="3" t="s">
        <v>19</v>
      </c>
      <c r="K266" s="3" t="s">
        <v>20</v>
      </c>
      <c r="L266" s="3"/>
      <c r="M266" s="5"/>
      <c r="N266" s="6" t="s">
        <v>1056</v>
      </c>
    </row>
    <row r="267" customFormat="false" ht="26.85" hidden="false" customHeight="false" outlineLevel="0" collapsed="false">
      <c r="A267" s="2" t="s">
        <v>1057</v>
      </c>
      <c r="B267" s="3" t="s">
        <v>1058</v>
      </c>
      <c r="C267" s="3"/>
      <c r="D267" s="3" t="s">
        <v>1059</v>
      </c>
      <c r="E267" s="3" t="s">
        <v>17</v>
      </c>
      <c r="F267" s="3"/>
      <c r="G267" s="3" t="n">
        <v>41000</v>
      </c>
      <c r="H267" s="3"/>
      <c r="I267" s="4" t="str">
        <f aca="false">IF(H267="","",ROUND((H267-G267)/H267*100,0))</f>
        <v/>
      </c>
      <c r="J267" s="3" t="s">
        <v>19</v>
      </c>
      <c r="K267" s="3" t="s">
        <v>20</v>
      </c>
      <c r="L267" s="3"/>
      <c r="M267" s="5"/>
      <c r="N267" s="6" t="s">
        <v>1060</v>
      </c>
    </row>
    <row r="268" customFormat="false" ht="26.85" hidden="false" customHeight="false" outlineLevel="0" collapsed="false">
      <c r="A268" s="2" t="s">
        <v>1061</v>
      </c>
      <c r="B268" s="3" t="s">
        <v>1062</v>
      </c>
      <c r="C268" s="3"/>
      <c r="D268" s="3" t="s">
        <v>1063</v>
      </c>
      <c r="E268" s="3" t="s">
        <v>17</v>
      </c>
      <c r="F268" s="3"/>
      <c r="G268" s="3" t="n">
        <v>11500</v>
      </c>
      <c r="H268" s="3"/>
      <c r="I268" s="4" t="str">
        <f aca="false">IF(H268="","",ROUND((H268-G268)/H268*100,0))</f>
        <v/>
      </c>
      <c r="J268" s="3" t="s">
        <v>19</v>
      </c>
      <c r="K268" s="3" t="s">
        <v>20</v>
      </c>
      <c r="L268" s="3"/>
      <c r="M268" s="5"/>
      <c r="N268" s="6" t="s">
        <v>1064</v>
      </c>
    </row>
    <row r="269" customFormat="false" ht="26.85" hidden="false" customHeight="false" outlineLevel="0" collapsed="false">
      <c r="A269" s="2" t="s">
        <v>1065</v>
      </c>
      <c r="B269" s="3" t="s">
        <v>1066</v>
      </c>
      <c r="C269" s="3"/>
      <c r="D269" s="3" t="s">
        <v>640</v>
      </c>
      <c r="E269" s="3" t="s">
        <v>17</v>
      </c>
      <c r="F269" s="3"/>
      <c r="G269" s="3" t="n">
        <v>31000</v>
      </c>
      <c r="H269" s="3"/>
      <c r="I269" s="4" t="str">
        <f aca="false">IF(H269="","",ROUND((H269-G269)/H269*100,0))</f>
        <v/>
      </c>
      <c r="J269" s="3" t="s">
        <v>19</v>
      </c>
      <c r="K269" s="3" t="s">
        <v>20</v>
      </c>
      <c r="L269" s="3"/>
      <c r="M269" s="5"/>
      <c r="N269" s="6" t="s">
        <v>1067</v>
      </c>
    </row>
    <row r="270" customFormat="false" ht="26.85" hidden="false" customHeight="false" outlineLevel="0" collapsed="false">
      <c r="A270" s="2" t="s">
        <v>1068</v>
      </c>
      <c r="B270" s="3" t="s">
        <v>1069</v>
      </c>
      <c r="C270" s="3"/>
      <c r="D270" s="3" t="s">
        <v>227</v>
      </c>
      <c r="E270" s="3" t="s">
        <v>17</v>
      </c>
      <c r="F270" s="3"/>
      <c r="G270" s="3" t="n">
        <v>6500</v>
      </c>
      <c r="H270" s="3"/>
      <c r="I270" s="4" t="str">
        <f aca="false">IF(H270="","",ROUND((H270-G270)/H270*100,0))</f>
        <v/>
      </c>
      <c r="J270" s="3" t="s">
        <v>19</v>
      </c>
      <c r="K270" s="3" t="s">
        <v>20</v>
      </c>
      <c r="L270" s="3"/>
      <c r="M270" s="5"/>
      <c r="N270" s="6" t="s">
        <v>1070</v>
      </c>
    </row>
    <row r="271" customFormat="false" ht="26.85" hidden="false" customHeight="false" outlineLevel="0" collapsed="false">
      <c r="A271" s="2" t="s">
        <v>1071</v>
      </c>
      <c r="B271" s="3" t="s">
        <v>1072</v>
      </c>
      <c r="C271" s="3"/>
      <c r="D271" s="3" t="s">
        <v>595</v>
      </c>
      <c r="E271" s="3" t="s">
        <v>17</v>
      </c>
      <c r="F271" s="3" t="s">
        <v>18</v>
      </c>
      <c r="G271" s="3" t="n">
        <v>19200</v>
      </c>
      <c r="H271" s="3"/>
      <c r="I271" s="4" t="str">
        <f aca="false">IF(H271="","",ROUND((H271-G271)/H271*100,0))</f>
        <v/>
      </c>
      <c r="J271" s="3" t="s">
        <v>19</v>
      </c>
      <c r="K271" s="3" t="s">
        <v>20</v>
      </c>
      <c r="L271" s="3"/>
      <c r="M271" s="5"/>
      <c r="N271" s="6" t="s">
        <v>1073</v>
      </c>
    </row>
    <row r="272" customFormat="false" ht="26.85" hidden="false" customHeight="false" outlineLevel="0" collapsed="false">
      <c r="A272" s="2" t="s">
        <v>1074</v>
      </c>
      <c r="B272" s="3" t="s">
        <v>1075</v>
      </c>
      <c r="C272" s="3"/>
      <c r="D272" s="3" t="s">
        <v>1076</v>
      </c>
      <c r="E272" s="3" t="s">
        <v>36</v>
      </c>
      <c r="F272" s="3" t="s">
        <v>18</v>
      </c>
      <c r="G272" s="3" t="n">
        <v>21000</v>
      </c>
      <c r="H272" s="3"/>
      <c r="I272" s="4" t="str">
        <f aca="false">IF(H272="","",ROUND((H272-G272)/H272*100,0))</f>
        <v/>
      </c>
      <c r="J272" s="3" t="s">
        <v>19</v>
      </c>
      <c r="K272" s="3" t="s">
        <v>20</v>
      </c>
      <c r="L272" s="3"/>
      <c r="M272" s="5"/>
      <c r="N272" s="6" t="s">
        <v>1077</v>
      </c>
    </row>
    <row r="273" customFormat="false" ht="26.85" hidden="false" customHeight="false" outlineLevel="0" collapsed="false">
      <c r="A273" s="2" t="s">
        <v>1078</v>
      </c>
      <c r="B273" s="3" t="s">
        <v>1079</v>
      </c>
      <c r="C273" s="3"/>
      <c r="D273" s="3" t="s">
        <v>1080</v>
      </c>
      <c r="E273" s="3" t="s">
        <v>17</v>
      </c>
      <c r="F273" s="3"/>
      <c r="G273" s="3" t="n">
        <v>39000</v>
      </c>
      <c r="H273" s="3"/>
      <c r="I273" s="4" t="str">
        <f aca="false">IF(H273="","",ROUND((H273-G273)/H273*100,0))</f>
        <v/>
      </c>
      <c r="J273" s="3" t="s">
        <v>19</v>
      </c>
      <c r="K273" s="3" t="s">
        <v>20</v>
      </c>
      <c r="L273" s="3"/>
      <c r="M273" s="5"/>
      <c r="N273" s="6" t="s">
        <v>1081</v>
      </c>
    </row>
    <row r="274" customFormat="false" ht="26.85" hidden="false" customHeight="false" outlineLevel="0" collapsed="false">
      <c r="A274" s="2" t="s">
        <v>1082</v>
      </c>
      <c r="B274" s="3" t="s">
        <v>1083</v>
      </c>
      <c r="C274" s="3"/>
      <c r="D274" s="3" t="s">
        <v>1084</v>
      </c>
      <c r="E274" s="3" t="s">
        <v>17</v>
      </c>
      <c r="F274" s="3" t="s">
        <v>18</v>
      </c>
      <c r="G274" s="3" t="n">
        <v>19900</v>
      </c>
      <c r="H274" s="3"/>
      <c r="I274" s="4" t="str">
        <f aca="false">IF(H274="","",ROUND((H274-G274)/H274*100,0))</f>
        <v/>
      </c>
      <c r="J274" s="3" t="s">
        <v>19</v>
      </c>
      <c r="K274" s="3" t="s">
        <v>20</v>
      </c>
      <c r="L274" s="3"/>
      <c r="M274" s="5"/>
      <c r="N274" s="6" t="s">
        <v>1085</v>
      </c>
    </row>
    <row r="275" customFormat="false" ht="26.85" hidden="false" customHeight="false" outlineLevel="0" collapsed="false">
      <c r="A275" s="2" t="s">
        <v>1086</v>
      </c>
      <c r="B275" s="3" t="s">
        <v>1087</v>
      </c>
      <c r="C275" s="3"/>
      <c r="D275" s="3" t="s">
        <v>316</v>
      </c>
      <c r="E275" s="3" t="s">
        <v>17</v>
      </c>
      <c r="F275" s="3" t="s">
        <v>127</v>
      </c>
      <c r="G275" s="3" t="n">
        <v>15500</v>
      </c>
      <c r="H275" s="3"/>
      <c r="I275" s="4" t="str">
        <f aca="false">IF(H275="","",ROUND((H275-G275)/H275*100,0))</f>
        <v/>
      </c>
      <c r="J275" s="3" t="s">
        <v>19</v>
      </c>
      <c r="K275" s="3" t="s">
        <v>20</v>
      </c>
      <c r="L275" s="3"/>
      <c r="M275" s="5"/>
      <c r="N275" s="6" t="s">
        <v>1088</v>
      </c>
    </row>
    <row r="276" customFormat="false" ht="26.85" hidden="false" customHeight="false" outlineLevel="0" collapsed="false">
      <c r="A276" s="2" t="s">
        <v>1089</v>
      </c>
      <c r="B276" s="3" t="s">
        <v>1090</v>
      </c>
      <c r="C276" s="3"/>
      <c r="D276" s="3" t="s">
        <v>1091</v>
      </c>
      <c r="E276" s="3" t="s">
        <v>17</v>
      </c>
      <c r="F276" s="3" t="s">
        <v>127</v>
      </c>
      <c r="G276" s="3" t="n">
        <v>28400</v>
      </c>
      <c r="H276" s="3"/>
      <c r="I276" s="4" t="str">
        <f aca="false">IF(H276="","",ROUND((H276-G276)/H276*100,0))</f>
        <v/>
      </c>
      <c r="J276" s="3" t="s">
        <v>19</v>
      </c>
      <c r="K276" s="3" t="s">
        <v>20</v>
      </c>
      <c r="L276" s="3"/>
      <c r="M276" s="5"/>
      <c r="N276" s="6" t="s">
        <v>1092</v>
      </c>
    </row>
    <row r="277" customFormat="false" ht="26.85" hidden="false" customHeight="false" outlineLevel="0" collapsed="false">
      <c r="A277" s="2" t="s">
        <v>1093</v>
      </c>
      <c r="B277" s="3" t="s">
        <v>1094</v>
      </c>
      <c r="C277" s="3"/>
      <c r="D277" s="3" t="s">
        <v>1095</v>
      </c>
      <c r="E277" s="3" t="s">
        <v>17</v>
      </c>
      <c r="F277" s="3"/>
      <c r="G277" s="3" t="n">
        <v>48800</v>
      </c>
      <c r="H277" s="3"/>
      <c r="I277" s="4" t="str">
        <f aca="false">IF(H277="","",ROUND((H277-G277)/H277*100,0))</f>
        <v/>
      </c>
      <c r="J277" s="3" t="s">
        <v>19</v>
      </c>
      <c r="K277" s="3" t="s">
        <v>20</v>
      </c>
      <c r="L277" s="3"/>
      <c r="M277" s="5"/>
      <c r="N277" s="6" t="s">
        <v>1096</v>
      </c>
    </row>
    <row r="278" customFormat="false" ht="26.85" hidden="false" customHeight="false" outlineLevel="0" collapsed="false">
      <c r="A278" s="2" t="s">
        <v>1097</v>
      </c>
      <c r="B278" s="3" t="s">
        <v>1098</v>
      </c>
      <c r="C278" s="3" t="s">
        <v>1099</v>
      </c>
      <c r="D278" s="3" t="s">
        <v>215</v>
      </c>
      <c r="E278" s="3" t="s">
        <v>36</v>
      </c>
      <c r="F278" s="3" t="s">
        <v>37</v>
      </c>
      <c r="G278" s="3" t="n">
        <v>62500</v>
      </c>
      <c r="H278" s="3"/>
      <c r="I278" s="4" t="str">
        <f aca="false">IF(H278="","",ROUND((H278-G278)/H278*100,0))</f>
        <v/>
      </c>
      <c r="J278" s="3" t="s">
        <v>19</v>
      </c>
      <c r="K278" s="3" t="s">
        <v>20</v>
      </c>
      <c r="L278" s="3"/>
      <c r="M278" s="5"/>
      <c r="N278" s="6" t="s">
        <v>1100</v>
      </c>
    </row>
    <row r="279" customFormat="false" ht="26.85" hidden="false" customHeight="false" outlineLevel="0" collapsed="false">
      <c r="A279" s="2" t="s">
        <v>1101</v>
      </c>
      <c r="B279" s="3" t="s">
        <v>1102</v>
      </c>
      <c r="C279" s="3" t="s">
        <v>1099</v>
      </c>
      <c r="D279" s="3" t="s">
        <v>215</v>
      </c>
      <c r="E279" s="3" t="s">
        <v>36</v>
      </c>
      <c r="F279" s="3" t="s">
        <v>37</v>
      </c>
      <c r="G279" s="3" t="n">
        <v>57500</v>
      </c>
      <c r="H279" s="3"/>
      <c r="I279" s="4" t="str">
        <f aca="false">IF(H279="","",ROUND((H279-G279)/H279*100,0))</f>
        <v/>
      </c>
      <c r="J279" s="3" t="s">
        <v>19</v>
      </c>
      <c r="K279" s="3" t="s">
        <v>20</v>
      </c>
      <c r="L279" s="3"/>
      <c r="M279" s="5"/>
      <c r="N279" s="6" t="s">
        <v>1103</v>
      </c>
    </row>
    <row r="280" customFormat="false" ht="26.85" hidden="false" customHeight="false" outlineLevel="0" collapsed="false">
      <c r="A280" s="2" t="s">
        <v>1104</v>
      </c>
      <c r="B280" s="3" t="s">
        <v>1105</v>
      </c>
      <c r="C280" s="3"/>
      <c r="D280" s="3" t="s">
        <v>825</v>
      </c>
      <c r="E280" s="3" t="s">
        <v>17</v>
      </c>
      <c r="F280" s="3" t="s">
        <v>46</v>
      </c>
      <c r="G280" s="3" t="n">
        <v>6200</v>
      </c>
      <c r="H280" s="3"/>
      <c r="I280" s="4" t="str">
        <f aca="false">IF(H280="","",ROUND((H280-G280)/H280*100,0))</f>
        <v/>
      </c>
      <c r="J280" s="3" t="s">
        <v>19</v>
      </c>
      <c r="K280" s="3" t="s">
        <v>20</v>
      </c>
      <c r="L280" s="3"/>
      <c r="M280" s="5"/>
      <c r="N280" s="6" t="s">
        <v>1106</v>
      </c>
    </row>
    <row r="281" customFormat="false" ht="26.85" hidden="false" customHeight="false" outlineLevel="0" collapsed="false">
      <c r="A281" s="2" t="s">
        <v>1107</v>
      </c>
      <c r="B281" s="3" t="s">
        <v>1108</v>
      </c>
      <c r="C281" s="3"/>
      <c r="D281" s="3" t="s">
        <v>1109</v>
      </c>
      <c r="E281" s="3" t="s">
        <v>17</v>
      </c>
      <c r="F281" s="3" t="s">
        <v>46</v>
      </c>
      <c r="G281" s="3" t="n">
        <v>4500</v>
      </c>
      <c r="H281" s="3"/>
      <c r="I281" s="4" t="str">
        <f aca="false">IF(H281="","",ROUND((H281-G281)/H281*100,0))</f>
        <v/>
      </c>
      <c r="J281" s="3" t="s">
        <v>19</v>
      </c>
      <c r="K281" s="3" t="s">
        <v>20</v>
      </c>
      <c r="L281" s="3"/>
      <c r="M281" s="5"/>
      <c r="N281" s="6" t="s">
        <v>1110</v>
      </c>
    </row>
    <row r="282" customFormat="false" ht="26.85" hidden="false" customHeight="false" outlineLevel="0" collapsed="false">
      <c r="A282" s="2" t="s">
        <v>1111</v>
      </c>
      <c r="B282" s="3" t="s">
        <v>1112</v>
      </c>
      <c r="C282" s="3" t="s">
        <v>1113</v>
      </c>
      <c r="D282" s="3" t="s">
        <v>316</v>
      </c>
      <c r="E282" s="3" t="s">
        <v>17</v>
      </c>
      <c r="F282" s="3" t="s">
        <v>46</v>
      </c>
      <c r="G282" s="3" t="n">
        <v>51500</v>
      </c>
      <c r="H282" s="3"/>
      <c r="I282" s="4" t="str">
        <f aca="false">IF(H282="","",ROUND((H282-G282)/H282*100,0))</f>
        <v/>
      </c>
      <c r="J282" s="3" t="s">
        <v>19</v>
      </c>
      <c r="K282" s="3" t="s">
        <v>20</v>
      </c>
      <c r="L282" s="3"/>
      <c r="M282" s="5"/>
      <c r="N282" s="6" t="s">
        <v>1114</v>
      </c>
    </row>
    <row r="283" customFormat="false" ht="26.85" hidden="false" customHeight="false" outlineLevel="0" collapsed="false">
      <c r="A283" s="2" t="s">
        <v>1115</v>
      </c>
      <c r="B283" s="3" t="s">
        <v>1116</v>
      </c>
      <c r="C283" s="3" t="s">
        <v>1113</v>
      </c>
      <c r="D283" s="3" t="s">
        <v>1117</v>
      </c>
      <c r="E283" s="3" t="s">
        <v>17</v>
      </c>
      <c r="F283" s="3" t="s">
        <v>46</v>
      </c>
      <c r="G283" s="3" t="n">
        <v>138500</v>
      </c>
      <c r="H283" s="3"/>
      <c r="I283" s="4" t="str">
        <f aca="false">IF(H283="","",ROUND((H283-G283)/H283*100,0))</f>
        <v/>
      </c>
      <c r="J283" s="3" t="s">
        <v>19</v>
      </c>
      <c r="K283" s="3" t="s">
        <v>20</v>
      </c>
      <c r="L283" s="3"/>
      <c r="M283" s="5"/>
      <c r="N283" s="6" t="s">
        <v>1118</v>
      </c>
    </row>
    <row r="284" customFormat="false" ht="26.85" hidden="false" customHeight="false" outlineLevel="0" collapsed="false">
      <c r="A284" s="2" t="s">
        <v>1119</v>
      </c>
      <c r="B284" s="3" t="s">
        <v>1120</v>
      </c>
      <c r="C284" s="3" t="s">
        <v>1121</v>
      </c>
      <c r="D284" s="3" t="s">
        <v>1122</v>
      </c>
      <c r="E284" s="3" t="s">
        <v>36</v>
      </c>
      <c r="F284" s="3" t="s">
        <v>37</v>
      </c>
      <c r="G284" s="3" t="n">
        <v>11900</v>
      </c>
      <c r="H284" s="3"/>
      <c r="I284" s="4" t="str">
        <f aca="false">IF(H284="","",ROUND((H284-G284)/H284*100,0))</f>
        <v/>
      </c>
      <c r="J284" s="3" t="s">
        <v>19</v>
      </c>
      <c r="K284" s="3" t="s">
        <v>20</v>
      </c>
      <c r="L284" s="3"/>
      <c r="M284" s="5"/>
      <c r="N284" s="6" t="s">
        <v>1123</v>
      </c>
    </row>
    <row r="285" customFormat="false" ht="26.85" hidden="false" customHeight="false" outlineLevel="0" collapsed="false">
      <c r="A285" s="2" t="s">
        <v>1124</v>
      </c>
      <c r="B285" s="3" t="s">
        <v>1125</v>
      </c>
      <c r="C285" s="3" t="s">
        <v>1121</v>
      </c>
      <c r="D285" s="3" t="s">
        <v>1126</v>
      </c>
      <c r="E285" s="3" t="s">
        <v>36</v>
      </c>
      <c r="F285" s="3" t="s">
        <v>37</v>
      </c>
      <c r="G285" s="3" t="n">
        <v>21000</v>
      </c>
      <c r="H285" s="3"/>
      <c r="I285" s="4" t="str">
        <f aca="false">IF(H285="","",ROUND((H285-G285)/H285*100,0))</f>
        <v/>
      </c>
      <c r="J285" s="3" t="s">
        <v>19</v>
      </c>
      <c r="K285" s="3" t="s">
        <v>20</v>
      </c>
      <c r="L285" s="3"/>
      <c r="M285" s="5"/>
      <c r="N285" s="6" t="s">
        <v>1127</v>
      </c>
    </row>
    <row r="286" customFormat="false" ht="26.85" hidden="false" customHeight="false" outlineLevel="0" collapsed="false">
      <c r="A286" s="2" t="s">
        <v>1128</v>
      </c>
      <c r="B286" s="3" t="s">
        <v>1129</v>
      </c>
      <c r="C286" s="3"/>
      <c r="D286" s="3"/>
      <c r="E286" s="3" t="s">
        <v>36</v>
      </c>
      <c r="F286" s="3"/>
      <c r="G286" s="3" t="n">
        <v>87900</v>
      </c>
      <c r="H286" s="3"/>
      <c r="I286" s="4" t="str">
        <f aca="false">IF(H286="","",ROUND((H286-G286)/H286*100,0))</f>
        <v/>
      </c>
      <c r="J286" s="3" t="s">
        <v>19</v>
      </c>
      <c r="K286" s="3" t="s">
        <v>20</v>
      </c>
      <c r="L286" s="3"/>
      <c r="M286" s="5"/>
      <c r="N286" s="6" t="s">
        <v>1130</v>
      </c>
    </row>
    <row r="287" customFormat="false" ht="26.85" hidden="false" customHeight="false" outlineLevel="0" collapsed="false">
      <c r="A287" s="2" t="s">
        <v>1131</v>
      </c>
      <c r="B287" s="3" t="s">
        <v>1132</v>
      </c>
      <c r="C287" s="3"/>
      <c r="D287" s="3" t="s">
        <v>437</v>
      </c>
      <c r="E287" s="3" t="s">
        <v>17</v>
      </c>
      <c r="F287" s="3"/>
      <c r="G287" s="3" t="n">
        <v>33700</v>
      </c>
      <c r="H287" s="3"/>
      <c r="I287" s="4" t="str">
        <f aca="false">IF(H287="","",ROUND((H287-G287)/H287*100,0))</f>
        <v/>
      </c>
      <c r="J287" s="3" t="s">
        <v>19</v>
      </c>
      <c r="K287" s="3" t="s">
        <v>20</v>
      </c>
      <c r="L287" s="3"/>
      <c r="M287" s="5"/>
      <c r="N287" s="6" t="s">
        <v>1133</v>
      </c>
    </row>
    <row r="288" customFormat="false" ht="26.85" hidden="false" customHeight="false" outlineLevel="0" collapsed="false">
      <c r="A288" s="2" t="s">
        <v>1134</v>
      </c>
      <c r="B288" s="3" t="s">
        <v>1135</v>
      </c>
      <c r="C288" s="3"/>
      <c r="D288" s="3" t="s">
        <v>316</v>
      </c>
      <c r="E288" s="3" t="s">
        <v>17</v>
      </c>
      <c r="F288" s="3"/>
      <c r="G288" s="3" t="n">
        <v>59500</v>
      </c>
      <c r="H288" s="3"/>
      <c r="I288" s="4" t="str">
        <f aca="false">IF(H288="","",ROUND((H288-G288)/H288*100,0))</f>
        <v/>
      </c>
      <c r="J288" s="3" t="s">
        <v>19</v>
      </c>
      <c r="K288" s="3" t="s">
        <v>20</v>
      </c>
      <c r="L288" s="3"/>
      <c r="M288" s="5"/>
      <c r="N288" s="6" t="s">
        <v>1136</v>
      </c>
    </row>
    <row r="289" customFormat="false" ht="26.85" hidden="false" customHeight="false" outlineLevel="0" collapsed="false">
      <c r="A289" s="2" t="s">
        <v>1137</v>
      </c>
      <c r="B289" s="3" t="s">
        <v>1138</v>
      </c>
      <c r="C289" s="3"/>
      <c r="D289" s="3" t="s">
        <v>870</v>
      </c>
      <c r="E289" s="3" t="s">
        <v>17</v>
      </c>
      <c r="F289" s="3"/>
      <c r="G289" s="3" t="n">
        <v>50500</v>
      </c>
      <c r="H289" s="3"/>
      <c r="I289" s="4" t="str">
        <f aca="false">IF(H289="","",ROUND((H289-G289)/H289*100,0))</f>
        <v/>
      </c>
      <c r="J289" s="3" t="s">
        <v>19</v>
      </c>
      <c r="K289" s="3" t="s">
        <v>20</v>
      </c>
      <c r="L289" s="3"/>
      <c r="M289" s="5"/>
      <c r="N289" s="6" t="s">
        <v>1139</v>
      </c>
    </row>
    <row r="290" customFormat="false" ht="26.85" hidden="false" customHeight="false" outlineLevel="0" collapsed="false">
      <c r="A290" s="2" t="s">
        <v>1140</v>
      </c>
      <c r="B290" s="3" t="s">
        <v>1141</v>
      </c>
      <c r="C290" s="3"/>
      <c r="D290" s="3" t="s">
        <v>341</v>
      </c>
      <c r="E290" s="3" t="s">
        <v>17</v>
      </c>
      <c r="F290" s="3"/>
      <c r="G290" s="3" t="n">
        <v>44500</v>
      </c>
      <c r="H290" s="3"/>
      <c r="I290" s="4" t="str">
        <f aca="false">IF(H290="","",ROUND((H290-G290)/H290*100,0))</f>
        <v/>
      </c>
      <c r="J290" s="3" t="s">
        <v>19</v>
      </c>
      <c r="K290" s="3" t="s">
        <v>20</v>
      </c>
      <c r="L290" s="3"/>
      <c r="M290" s="5"/>
      <c r="N290" s="6" t="s">
        <v>1142</v>
      </c>
    </row>
    <row r="291" customFormat="false" ht="26.85" hidden="false" customHeight="false" outlineLevel="0" collapsed="false">
      <c r="A291" s="2" t="s">
        <v>1143</v>
      </c>
      <c r="B291" s="3" t="s">
        <v>1144</v>
      </c>
      <c r="C291" s="3"/>
      <c r="D291" s="3" t="s">
        <v>1145</v>
      </c>
      <c r="E291" s="3" t="s">
        <v>17</v>
      </c>
      <c r="F291" s="3" t="s">
        <v>18</v>
      </c>
      <c r="G291" s="3" t="n">
        <v>14100</v>
      </c>
      <c r="H291" s="3"/>
      <c r="I291" s="4" t="str">
        <f aca="false">IF(H291="","",ROUND((H291-G291)/H291*100,0))</f>
        <v/>
      </c>
      <c r="J291" s="3" t="s">
        <v>19</v>
      </c>
      <c r="K291" s="3" t="s">
        <v>20</v>
      </c>
      <c r="L291" s="3"/>
      <c r="M291" s="5"/>
      <c r="N291" s="6" t="s">
        <v>1146</v>
      </c>
    </row>
    <row r="292" customFormat="false" ht="26.85" hidden="false" customHeight="false" outlineLevel="0" collapsed="false">
      <c r="A292" s="2" t="s">
        <v>1147</v>
      </c>
      <c r="B292" s="3" t="s">
        <v>1148</v>
      </c>
      <c r="C292" s="3"/>
      <c r="D292" s="3" t="s">
        <v>1149</v>
      </c>
      <c r="E292" s="3" t="s">
        <v>17</v>
      </c>
      <c r="F292" s="3"/>
      <c r="G292" s="3" t="n">
        <v>19500</v>
      </c>
      <c r="H292" s="3"/>
      <c r="I292" s="4" t="str">
        <f aca="false">IF(H292="","",ROUND((H292-G292)/H292*100,0))</f>
        <v/>
      </c>
      <c r="J292" s="3" t="s">
        <v>19</v>
      </c>
      <c r="K292" s="3" t="s">
        <v>20</v>
      </c>
      <c r="L292" s="3"/>
      <c r="M292" s="5"/>
      <c r="N292" s="6" t="s">
        <v>1150</v>
      </c>
    </row>
    <row r="293" customFormat="false" ht="26.85" hidden="false" customHeight="false" outlineLevel="0" collapsed="false">
      <c r="A293" s="2" t="s">
        <v>1151</v>
      </c>
      <c r="B293" s="3" t="s">
        <v>1152</v>
      </c>
      <c r="C293" s="3"/>
      <c r="D293" s="3" t="s">
        <v>1153</v>
      </c>
      <c r="E293" s="3" t="s">
        <v>17</v>
      </c>
      <c r="F293" s="3"/>
      <c r="G293" s="3" t="n">
        <v>33600</v>
      </c>
      <c r="H293" s="3"/>
      <c r="I293" s="4" t="str">
        <f aca="false">IF(H293="","",ROUND((H293-G293)/H293*100,0))</f>
        <v/>
      </c>
      <c r="J293" s="3" t="s">
        <v>19</v>
      </c>
      <c r="K293" s="3" t="s">
        <v>20</v>
      </c>
      <c r="L293" s="3"/>
      <c r="M293" s="5"/>
      <c r="N293" s="6" t="s">
        <v>1154</v>
      </c>
    </row>
    <row r="294" customFormat="false" ht="26.85" hidden="false" customHeight="false" outlineLevel="0" collapsed="false">
      <c r="A294" s="2" t="s">
        <v>1155</v>
      </c>
      <c r="B294" s="3" t="s">
        <v>1156</v>
      </c>
      <c r="C294" s="3"/>
      <c r="D294" s="3" t="s">
        <v>1157</v>
      </c>
      <c r="E294" s="3" t="s">
        <v>17</v>
      </c>
      <c r="F294" s="3"/>
      <c r="G294" s="3" t="n">
        <v>9200</v>
      </c>
      <c r="H294" s="3"/>
      <c r="I294" s="4" t="str">
        <f aca="false">IF(H294="","",ROUND((H294-G294)/H294*100,0))</f>
        <v/>
      </c>
      <c r="J294" s="3" t="s">
        <v>19</v>
      </c>
      <c r="K294" s="3" t="s">
        <v>20</v>
      </c>
      <c r="L294" s="3"/>
      <c r="M294" s="5"/>
      <c r="N294" s="6" t="s">
        <v>1158</v>
      </c>
    </row>
    <row r="295" customFormat="false" ht="26.85" hidden="false" customHeight="false" outlineLevel="0" collapsed="false">
      <c r="A295" s="2" t="s">
        <v>1159</v>
      </c>
      <c r="B295" s="3" t="s">
        <v>1160</v>
      </c>
      <c r="C295" s="3"/>
      <c r="D295" s="3" t="s">
        <v>1161</v>
      </c>
      <c r="E295" s="3" t="s">
        <v>325</v>
      </c>
      <c r="F295" s="3"/>
      <c r="G295" s="3" t="n">
        <v>42800</v>
      </c>
      <c r="H295" s="3"/>
      <c r="I295" s="4" t="str">
        <f aca="false">IF(H295="","",ROUND((H295-G295)/H295*100,0))</f>
        <v/>
      </c>
      <c r="J295" s="3" t="s">
        <v>19</v>
      </c>
      <c r="K295" s="3" t="s">
        <v>20</v>
      </c>
      <c r="L295" s="3"/>
      <c r="M295" s="5"/>
      <c r="N295" s="6" t="s">
        <v>1162</v>
      </c>
    </row>
    <row r="296" customFormat="false" ht="26.85" hidden="false" customHeight="false" outlineLevel="0" collapsed="false">
      <c r="A296" s="2" t="s">
        <v>1163</v>
      </c>
      <c r="B296" s="3" t="s">
        <v>1164</v>
      </c>
      <c r="C296" s="3"/>
      <c r="D296" s="3" t="s">
        <v>731</v>
      </c>
      <c r="E296" s="3" t="s">
        <v>17</v>
      </c>
      <c r="F296" s="3"/>
      <c r="G296" s="3" t="n">
        <v>149300</v>
      </c>
      <c r="H296" s="3"/>
      <c r="I296" s="4" t="str">
        <f aca="false">IF(H296="","",ROUND((H296-G296)/H296*100,0))</f>
        <v/>
      </c>
      <c r="J296" s="3" t="s">
        <v>19</v>
      </c>
      <c r="K296" s="3" t="s">
        <v>20</v>
      </c>
      <c r="L296" s="3"/>
      <c r="M296" s="5"/>
      <c r="N296" s="6" t="s">
        <v>1165</v>
      </c>
    </row>
    <row r="297" customFormat="false" ht="26.85" hidden="false" customHeight="false" outlineLevel="0" collapsed="false">
      <c r="A297" s="2" t="s">
        <v>1166</v>
      </c>
      <c r="B297" s="3" t="s">
        <v>1167</v>
      </c>
      <c r="C297" s="3" t="s">
        <v>1168</v>
      </c>
      <c r="D297" s="3" t="s">
        <v>437</v>
      </c>
      <c r="E297" s="3" t="s">
        <v>36</v>
      </c>
      <c r="F297" s="3" t="s">
        <v>18</v>
      </c>
      <c r="G297" s="3" t="n">
        <v>11800</v>
      </c>
      <c r="H297" s="3"/>
      <c r="I297" s="4" t="str">
        <f aca="false">IF(H297="","",ROUND((H297-G297)/H297*100,0))</f>
        <v/>
      </c>
      <c r="J297" s="3" t="s">
        <v>19</v>
      </c>
      <c r="K297" s="3" t="s">
        <v>20</v>
      </c>
      <c r="L297" s="3"/>
      <c r="M297" s="5"/>
      <c r="N297" s="6" t="s">
        <v>1169</v>
      </c>
    </row>
    <row r="298" customFormat="false" ht="26.85" hidden="false" customHeight="false" outlineLevel="0" collapsed="false">
      <c r="A298" s="2" t="s">
        <v>1170</v>
      </c>
      <c r="B298" s="3" t="s">
        <v>1171</v>
      </c>
      <c r="C298" s="3"/>
      <c r="D298" s="3" t="s">
        <v>847</v>
      </c>
      <c r="E298" s="3" t="s">
        <v>17</v>
      </c>
      <c r="F298" s="3" t="s">
        <v>672</v>
      </c>
      <c r="G298" s="3" t="n">
        <v>3200</v>
      </c>
      <c r="H298" s="3"/>
      <c r="I298" s="4" t="str">
        <f aca="false">IF(H298="","",ROUND((H298-G298)/H298*100,0))</f>
        <v/>
      </c>
      <c r="J298" s="3" t="s">
        <v>19</v>
      </c>
      <c r="K298" s="3" t="s">
        <v>20</v>
      </c>
      <c r="L298" s="3"/>
      <c r="M298" s="5"/>
      <c r="N298" s="6" t="s">
        <v>1172</v>
      </c>
    </row>
    <row r="299" customFormat="false" ht="26.85" hidden="false" customHeight="false" outlineLevel="0" collapsed="false">
      <c r="A299" s="2" t="s">
        <v>1173</v>
      </c>
      <c r="B299" s="3" t="s">
        <v>1174</v>
      </c>
      <c r="C299" s="3" t="s">
        <v>386</v>
      </c>
      <c r="D299" s="3" t="s">
        <v>378</v>
      </c>
      <c r="E299" s="3" t="s">
        <v>325</v>
      </c>
      <c r="F299" s="3" t="s">
        <v>374</v>
      </c>
      <c r="G299" s="3" t="n">
        <v>43200</v>
      </c>
      <c r="H299" s="3" t="n">
        <v>58320</v>
      </c>
      <c r="I299" s="4" t="n">
        <f aca="false">IF(H299="","",ROUND((H299-G299)/H299*100,0))</f>
        <v>26</v>
      </c>
      <c r="J299" s="3" t="s">
        <v>19</v>
      </c>
      <c r="K299" s="3" t="s">
        <v>19</v>
      </c>
      <c r="L299" s="3"/>
      <c r="M299" s="5"/>
      <c r="N299" s="6" t="s">
        <v>1175</v>
      </c>
    </row>
    <row r="300" customFormat="false" ht="39.55" hidden="false" customHeight="false" outlineLevel="0" collapsed="false">
      <c r="A300" s="2" t="s">
        <v>1176</v>
      </c>
      <c r="B300" s="3" t="s">
        <v>1177</v>
      </c>
      <c r="C300" s="3"/>
      <c r="D300" s="3" t="s">
        <v>1178</v>
      </c>
      <c r="E300" s="3" t="s">
        <v>325</v>
      </c>
      <c r="F300" s="3" t="s">
        <v>374</v>
      </c>
      <c r="G300" s="3" t="n">
        <v>35500</v>
      </c>
      <c r="H300" s="3" t="n">
        <v>47925</v>
      </c>
      <c r="I300" s="4" t="n">
        <f aca="false">IF(H300="","",ROUND((H300-G300)/H300*100,0))</f>
        <v>26</v>
      </c>
      <c r="J300" s="3" t="s">
        <v>19</v>
      </c>
      <c r="K300" s="3" t="s">
        <v>20</v>
      </c>
      <c r="L300" s="3"/>
      <c r="M300" s="5"/>
      <c r="N300" s="6" t="s">
        <v>1179</v>
      </c>
    </row>
    <row r="301" customFormat="false" ht="39.55" hidden="false" customHeight="false" outlineLevel="0" collapsed="false">
      <c r="A301" s="2" t="s">
        <v>1180</v>
      </c>
      <c r="B301" s="3" t="s">
        <v>1181</v>
      </c>
      <c r="C301" s="3"/>
      <c r="D301" s="3" t="s">
        <v>1182</v>
      </c>
      <c r="E301" s="3" t="s">
        <v>17</v>
      </c>
      <c r="F301" s="3" t="s">
        <v>26</v>
      </c>
      <c r="G301" s="3" t="n">
        <v>43000</v>
      </c>
      <c r="H301" s="3"/>
      <c r="I301" s="4" t="str">
        <f aca="false">IF(H301="","",ROUND((H301-G301)/H301*100,0))</f>
        <v/>
      </c>
      <c r="J301" s="3" t="s">
        <v>19</v>
      </c>
      <c r="K301" s="3" t="s">
        <v>20</v>
      </c>
      <c r="L301" s="3"/>
      <c r="M301" s="5"/>
      <c r="N301" s="6" t="s">
        <v>1183</v>
      </c>
    </row>
    <row r="302" customFormat="false" ht="26.85" hidden="false" customHeight="false" outlineLevel="0" collapsed="false">
      <c r="A302" s="2" t="s">
        <v>1184</v>
      </c>
      <c r="B302" s="3" t="s">
        <v>1185</v>
      </c>
      <c r="C302" s="3"/>
      <c r="D302" s="3" t="s">
        <v>1186</v>
      </c>
      <c r="E302" s="3" t="s">
        <v>25</v>
      </c>
      <c r="F302" s="3" t="s">
        <v>26</v>
      </c>
      <c r="G302" s="3" t="n">
        <v>44900</v>
      </c>
      <c r="H302" s="3" t="n">
        <v>60615</v>
      </c>
      <c r="I302" s="4" t="n">
        <f aca="false">IF(H302="","",ROUND((H302-G302)/H302*100,0))</f>
        <v>26</v>
      </c>
      <c r="J302" s="3" t="s">
        <v>19</v>
      </c>
      <c r="K302" s="3" t="s">
        <v>19</v>
      </c>
      <c r="L302" s="3"/>
      <c r="M302" s="5"/>
      <c r="N302" s="6" t="s">
        <v>1187</v>
      </c>
    </row>
    <row r="303" customFormat="false" ht="26.85" hidden="false" customHeight="false" outlineLevel="0" collapsed="false">
      <c r="A303" s="2" t="s">
        <v>1188</v>
      </c>
      <c r="B303" s="3" t="s">
        <v>1189</v>
      </c>
      <c r="C303" s="3"/>
      <c r="D303" s="3" t="s">
        <v>1190</v>
      </c>
      <c r="E303" s="3" t="s">
        <v>325</v>
      </c>
      <c r="F303" s="3" t="s">
        <v>102</v>
      </c>
      <c r="G303" s="3" t="n">
        <v>95000</v>
      </c>
      <c r="H303" s="3" t="n">
        <v>128250</v>
      </c>
      <c r="I303" s="4" t="n">
        <f aca="false">IF(H303="","",ROUND((H303-G303)/H303*100,0))</f>
        <v>26</v>
      </c>
      <c r="J303" s="3" t="s">
        <v>19</v>
      </c>
      <c r="K303" s="3" t="s">
        <v>19</v>
      </c>
      <c r="L303" s="3"/>
      <c r="M303" s="5"/>
      <c r="N303" s="6" t="s">
        <v>1191</v>
      </c>
    </row>
    <row r="304" customFormat="false" ht="26.85" hidden="false" customHeight="false" outlineLevel="0" collapsed="false">
      <c r="A304" s="2" t="s">
        <v>1192</v>
      </c>
      <c r="B304" s="3" t="s">
        <v>1193</v>
      </c>
      <c r="C304" s="3" t="s">
        <v>1194</v>
      </c>
      <c r="D304" s="3" t="s">
        <v>1195</v>
      </c>
      <c r="E304" s="3" t="s">
        <v>325</v>
      </c>
      <c r="F304" s="3" t="s">
        <v>102</v>
      </c>
      <c r="G304" s="3" t="n">
        <v>96000</v>
      </c>
      <c r="H304" s="3" t="n">
        <v>129600</v>
      </c>
      <c r="I304" s="4" t="n">
        <f aca="false">IF(H304="","",ROUND((H304-G304)/H304*100,0))</f>
        <v>26</v>
      </c>
      <c r="J304" s="3" t="s">
        <v>19</v>
      </c>
      <c r="K304" s="3" t="s">
        <v>19</v>
      </c>
      <c r="L304" s="3"/>
      <c r="M304" s="5"/>
      <c r="N304" s="6" t="s">
        <v>1196</v>
      </c>
    </row>
    <row r="305" customFormat="false" ht="26.85" hidden="false" customHeight="false" outlineLevel="0" collapsed="false">
      <c r="A305" s="2" t="s">
        <v>1197</v>
      </c>
      <c r="B305" s="3" t="s">
        <v>1198</v>
      </c>
      <c r="C305" s="3"/>
      <c r="D305" s="3" t="s">
        <v>1199</v>
      </c>
      <c r="E305" s="3" t="s">
        <v>17</v>
      </c>
      <c r="F305" s="3" t="s">
        <v>672</v>
      </c>
      <c r="G305" s="3" t="n">
        <v>31000</v>
      </c>
      <c r="H305" s="3" t="n">
        <v>41850</v>
      </c>
      <c r="I305" s="4" t="n">
        <f aca="false">IF(H305="","",ROUND((H305-G305)/H305*100,0))</f>
        <v>26</v>
      </c>
      <c r="J305" s="3" t="s">
        <v>19</v>
      </c>
      <c r="K305" s="3" t="s">
        <v>20</v>
      </c>
      <c r="L305" s="3"/>
      <c r="M305" s="5"/>
      <c r="N305" s="6" t="s">
        <v>1200</v>
      </c>
    </row>
    <row r="306" customFormat="false" ht="26.85" hidden="false" customHeight="false" outlineLevel="0" collapsed="false">
      <c r="A306" s="2" t="s">
        <v>1201</v>
      </c>
      <c r="B306" s="3" t="s">
        <v>1202</v>
      </c>
      <c r="C306" s="3"/>
      <c r="D306" s="3" t="s">
        <v>1203</v>
      </c>
      <c r="E306" s="3" t="s">
        <v>17</v>
      </c>
      <c r="F306" s="3" t="s">
        <v>26</v>
      </c>
      <c r="G306" s="3" t="n">
        <v>17500</v>
      </c>
      <c r="H306" s="3"/>
      <c r="I306" s="4" t="str">
        <f aca="false">IF(H306="","",ROUND((H306-G306)/H306*100,0))</f>
        <v/>
      </c>
      <c r="J306" s="3" t="s">
        <v>19</v>
      </c>
      <c r="K306" s="3" t="s">
        <v>20</v>
      </c>
      <c r="L306" s="3"/>
      <c r="M306" s="5"/>
      <c r="N306" s="6" t="s">
        <v>1204</v>
      </c>
    </row>
    <row r="307" customFormat="false" ht="26.85" hidden="false" customHeight="false" outlineLevel="0" collapsed="false">
      <c r="A307" s="2" t="s">
        <v>1205</v>
      </c>
      <c r="B307" s="3" t="s">
        <v>1206</v>
      </c>
      <c r="C307" s="3"/>
      <c r="D307" s="3" t="s">
        <v>1207</v>
      </c>
      <c r="E307" s="3" t="s">
        <v>17</v>
      </c>
      <c r="F307" s="3" t="s">
        <v>170</v>
      </c>
      <c r="G307" s="3" t="n">
        <v>12400</v>
      </c>
      <c r="H307" s="3" t="n">
        <v>16740</v>
      </c>
      <c r="I307" s="4" t="n">
        <f aca="false">IF(H307="","",ROUND((H307-G307)/H307*100,0))</f>
        <v>26</v>
      </c>
      <c r="J307" s="3" t="s">
        <v>19</v>
      </c>
      <c r="K307" s="3" t="s">
        <v>20</v>
      </c>
      <c r="L307" s="3"/>
      <c r="M307" s="5"/>
      <c r="N307" s="6" t="s">
        <v>1208</v>
      </c>
    </row>
    <row r="308" customFormat="false" ht="39.55" hidden="false" customHeight="false" outlineLevel="0" collapsed="false">
      <c r="A308" s="2" t="s">
        <v>1209</v>
      </c>
      <c r="B308" s="3" t="s">
        <v>1210</v>
      </c>
      <c r="C308" s="3"/>
      <c r="D308" s="3" t="s">
        <v>1207</v>
      </c>
      <c r="E308" s="3" t="s">
        <v>17</v>
      </c>
      <c r="F308" s="3" t="s">
        <v>170</v>
      </c>
      <c r="G308" s="3" t="n">
        <v>15300</v>
      </c>
      <c r="H308" s="3" t="n">
        <v>20655</v>
      </c>
      <c r="I308" s="4" t="n">
        <f aca="false">IF(H308="","",ROUND((H308-G308)/H308*100,0))</f>
        <v>26</v>
      </c>
      <c r="J308" s="3" t="s">
        <v>19</v>
      </c>
      <c r="K308" s="3" t="s">
        <v>20</v>
      </c>
      <c r="L308" s="3"/>
      <c r="M308" s="5"/>
      <c r="N308" s="6" t="s">
        <v>1211</v>
      </c>
    </row>
    <row r="309" customFormat="false" ht="26.85" hidden="false" customHeight="false" outlineLevel="0" collapsed="false">
      <c r="A309" s="2" t="s">
        <v>1212</v>
      </c>
      <c r="B309" s="3" t="s">
        <v>1213</v>
      </c>
      <c r="C309" s="3"/>
      <c r="D309" s="3" t="s">
        <v>537</v>
      </c>
      <c r="E309" s="3" t="s">
        <v>17</v>
      </c>
      <c r="F309" s="3"/>
      <c r="G309" s="3" t="n">
        <v>25900</v>
      </c>
      <c r="H309" s="3" t="n">
        <v>34965</v>
      </c>
      <c r="I309" s="4" t="n">
        <f aca="false">IF(H309="","",ROUND((H309-G309)/H309*100,0))</f>
        <v>26</v>
      </c>
      <c r="J309" s="3" t="s">
        <v>19</v>
      </c>
      <c r="K309" s="3" t="s">
        <v>20</v>
      </c>
      <c r="L309" s="3"/>
      <c r="M309" s="5"/>
      <c r="N309" s="6" t="s">
        <v>1214</v>
      </c>
    </row>
    <row r="310" customFormat="false" ht="26.85" hidden="false" customHeight="false" outlineLevel="0" collapsed="false">
      <c r="A310" s="2" t="s">
        <v>1215</v>
      </c>
      <c r="B310" s="3" t="s">
        <v>1216</v>
      </c>
      <c r="C310" s="3"/>
      <c r="D310" s="3" t="s">
        <v>990</v>
      </c>
      <c r="E310" s="3" t="s">
        <v>17</v>
      </c>
      <c r="F310" s="3"/>
      <c r="G310" s="3" t="n">
        <v>27900</v>
      </c>
      <c r="H310" s="3"/>
      <c r="I310" s="4" t="str">
        <f aca="false">IF(H310="","",ROUND((H310-G310)/H310*100,0))</f>
        <v/>
      </c>
      <c r="J310" s="3" t="s">
        <v>19</v>
      </c>
      <c r="K310" s="3" t="s">
        <v>20</v>
      </c>
      <c r="L310" s="3"/>
      <c r="M310" s="5"/>
      <c r="N310" s="6" t="s">
        <v>1217</v>
      </c>
    </row>
    <row r="311" customFormat="false" ht="26.85" hidden="false" customHeight="false" outlineLevel="0" collapsed="false">
      <c r="A311" s="2" t="s">
        <v>1218</v>
      </c>
      <c r="B311" s="3" t="s">
        <v>1219</v>
      </c>
      <c r="C311" s="3"/>
      <c r="D311" s="3" t="s">
        <v>544</v>
      </c>
      <c r="E311" s="3" t="s">
        <v>17</v>
      </c>
      <c r="F311" s="3" t="s">
        <v>545</v>
      </c>
      <c r="G311" s="3" t="n">
        <v>15500</v>
      </c>
      <c r="H311" s="3"/>
      <c r="I311" s="4" t="str">
        <f aca="false">IF(H311="","",ROUND((H311-G311)/H311*100,0))</f>
        <v/>
      </c>
      <c r="J311" s="3" t="s">
        <v>19</v>
      </c>
      <c r="K311" s="3" t="s">
        <v>20</v>
      </c>
      <c r="L311" s="3"/>
      <c r="M311" s="5"/>
      <c r="N311" s="6" t="s">
        <v>1220</v>
      </c>
    </row>
    <row r="312" customFormat="false" ht="26.85" hidden="false" customHeight="false" outlineLevel="0" collapsed="false">
      <c r="A312" s="2" t="s">
        <v>1221</v>
      </c>
      <c r="B312" s="3" t="s">
        <v>1222</v>
      </c>
      <c r="C312" s="3"/>
      <c r="D312" s="3" t="s">
        <v>409</v>
      </c>
      <c r="E312" s="3" t="s">
        <v>17</v>
      </c>
      <c r="F312" s="3"/>
      <c r="G312" s="3" t="n">
        <v>27200</v>
      </c>
      <c r="H312" s="3"/>
      <c r="I312" s="4" t="str">
        <f aca="false">IF(H312="","",ROUND((H312-G312)/H312*100,0))</f>
        <v/>
      </c>
      <c r="J312" s="3" t="s">
        <v>19</v>
      </c>
      <c r="K312" s="3" t="s">
        <v>20</v>
      </c>
      <c r="L312" s="3"/>
      <c r="M312" s="5"/>
      <c r="N312" s="6" t="s">
        <v>1223</v>
      </c>
    </row>
    <row r="313" customFormat="false" ht="26.85" hidden="false" customHeight="false" outlineLevel="0" collapsed="false">
      <c r="A313" s="2" t="s">
        <v>1224</v>
      </c>
      <c r="B313" s="3" t="s">
        <v>1225</v>
      </c>
      <c r="C313" s="3"/>
      <c r="D313" s="3" t="s">
        <v>552</v>
      </c>
      <c r="E313" s="3" t="s">
        <v>17</v>
      </c>
      <c r="F313" s="3"/>
      <c r="G313" s="3" t="n">
        <v>67900</v>
      </c>
      <c r="H313" s="3"/>
      <c r="I313" s="4" t="str">
        <f aca="false">IF(H313="","",ROUND((H313-G313)/H313*100,0))</f>
        <v/>
      </c>
      <c r="J313" s="3" t="s">
        <v>19</v>
      </c>
      <c r="K313" s="3" t="s">
        <v>20</v>
      </c>
      <c r="L313" s="3"/>
      <c r="M313" s="5"/>
      <c r="N313" s="6" t="s">
        <v>1226</v>
      </c>
    </row>
    <row r="314" customFormat="false" ht="26.85" hidden="false" customHeight="false" outlineLevel="0" collapsed="false">
      <c r="A314" s="2" t="s">
        <v>1227</v>
      </c>
      <c r="B314" s="3" t="s">
        <v>1228</v>
      </c>
      <c r="C314" s="3" t="s">
        <v>1229</v>
      </c>
      <c r="D314" s="3" t="s">
        <v>1230</v>
      </c>
      <c r="E314" s="3" t="s">
        <v>36</v>
      </c>
      <c r="F314" s="3" t="s">
        <v>1231</v>
      </c>
      <c r="G314" s="3" t="n">
        <v>69000</v>
      </c>
      <c r="H314" s="3"/>
      <c r="I314" s="4" t="str">
        <f aca="false">IF(H314="","",ROUND((H314-G314)/H314*100,0))</f>
        <v/>
      </c>
      <c r="J314" s="3" t="s">
        <v>19</v>
      </c>
      <c r="K314" s="3" t="s">
        <v>20</v>
      </c>
      <c r="L314" s="3"/>
      <c r="M314" s="5"/>
      <c r="N314" s="6" t="s">
        <v>1232</v>
      </c>
    </row>
    <row r="315" customFormat="false" ht="26.85" hidden="false" customHeight="false" outlineLevel="0" collapsed="false">
      <c r="A315" s="2" t="s">
        <v>1233</v>
      </c>
      <c r="B315" s="3" t="s">
        <v>1234</v>
      </c>
      <c r="C315" s="3" t="s">
        <v>1229</v>
      </c>
      <c r="D315" s="3" t="s">
        <v>1235</v>
      </c>
      <c r="E315" s="3" t="s">
        <v>36</v>
      </c>
      <c r="F315" s="3" t="s">
        <v>1231</v>
      </c>
      <c r="G315" s="3" t="n">
        <v>45100</v>
      </c>
      <c r="H315" s="3" t="n">
        <v>60885</v>
      </c>
      <c r="I315" s="4" t="n">
        <f aca="false">IF(H315="","",ROUND((H315-G315)/H315*100,0))</f>
        <v>26</v>
      </c>
      <c r="J315" s="3" t="s">
        <v>19</v>
      </c>
      <c r="K315" s="3" t="s">
        <v>19</v>
      </c>
      <c r="L315" s="3"/>
      <c r="M315" s="5"/>
      <c r="N315" s="6" t="s">
        <v>1236</v>
      </c>
    </row>
    <row r="316" customFormat="false" ht="26.85" hidden="false" customHeight="false" outlineLevel="0" collapsed="false">
      <c r="A316" s="2" t="s">
        <v>1237</v>
      </c>
      <c r="B316" s="3" t="s">
        <v>1238</v>
      </c>
      <c r="C316" s="3" t="s">
        <v>1229</v>
      </c>
      <c r="D316" s="3" t="s">
        <v>1235</v>
      </c>
      <c r="E316" s="3" t="s">
        <v>36</v>
      </c>
      <c r="F316" s="3" t="s">
        <v>1231</v>
      </c>
      <c r="G316" s="3" t="n">
        <v>31500</v>
      </c>
      <c r="H316" s="3"/>
      <c r="I316" s="4" t="str">
        <f aca="false">IF(H316="","",ROUND((H316-G316)/H316*100,0))</f>
        <v/>
      </c>
      <c r="J316" s="3" t="s">
        <v>19</v>
      </c>
      <c r="K316" s="3" t="s">
        <v>20</v>
      </c>
      <c r="L316" s="3"/>
      <c r="M316" s="5"/>
      <c r="N316" s="6" t="s">
        <v>1239</v>
      </c>
    </row>
    <row r="317" customFormat="false" ht="26.85" hidden="false" customHeight="false" outlineLevel="0" collapsed="false">
      <c r="A317" s="2" t="s">
        <v>1240</v>
      </c>
      <c r="B317" s="3" t="s">
        <v>1241</v>
      </c>
      <c r="C317" s="3" t="s">
        <v>1229</v>
      </c>
      <c r="D317" s="3" t="s">
        <v>1235</v>
      </c>
      <c r="E317" s="3" t="s">
        <v>36</v>
      </c>
      <c r="F317" s="3" t="s">
        <v>1231</v>
      </c>
      <c r="G317" s="3" t="n">
        <v>29500</v>
      </c>
      <c r="H317" s="3"/>
      <c r="I317" s="4" t="str">
        <f aca="false">IF(H317="","",ROUND((H317-G317)/H317*100,0))</f>
        <v/>
      </c>
      <c r="J317" s="3" t="s">
        <v>19</v>
      </c>
      <c r="K317" s="3" t="s">
        <v>20</v>
      </c>
      <c r="L317" s="3"/>
      <c r="M317" s="5"/>
      <c r="N317" s="6" t="s">
        <v>1242</v>
      </c>
    </row>
    <row r="318" customFormat="false" ht="26.85" hidden="false" customHeight="false" outlineLevel="0" collapsed="false">
      <c r="A318" s="2" t="s">
        <v>1243</v>
      </c>
      <c r="B318" s="3" t="s">
        <v>1244</v>
      </c>
      <c r="C318" s="3" t="s">
        <v>556</v>
      </c>
      <c r="D318" s="3" t="s">
        <v>1245</v>
      </c>
      <c r="E318" s="3" t="s">
        <v>17</v>
      </c>
      <c r="F318" s="3" t="s">
        <v>46</v>
      </c>
      <c r="G318" s="3" t="n">
        <v>67900</v>
      </c>
      <c r="H318" s="3"/>
      <c r="I318" s="4" t="str">
        <f aca="false">IF(H318="","",ROUND((H318-G318)/H318*100,0))</f>
        <v/>
      </c>
      <c r="J318" s="3" t="s">
        <v>19</v>
      </c>
      <c r="K318" s="3" t="s">
        <v>20</v>
      </c>
      <c r="L318" s="3"/>
      <c r="M318" s="5"/>
      <c r="N318" s="6" t="s">
        <v>1246</v>
      </c>
    </row>
    <row r="319" customFormat="false" ht="26.85" hidden="false" customHeight="false" outlineLevel="0" collapsed="false">
      <c r="A319" s="2" t="s">
        <v>1247</v>
      </c>
      <c r="B319" s="3" t="s">
        <v>1248</v>
      </c>
      <c r="C319" s="3" t="s">
        <v>556</v>
      </c>
      <c r="D319" s="3" t="s">
        <v>1249</v>
      </c>
      <c r="E319" s="3" t="s">
        <v>17</v>
      </c>
      <c r="F319" s="3" t="s">
        <v>46</v>
      </c>
      <c r="G319" s="3" t="n">
        <v>31000</v>
      </c>
      <c r="H319" s="3"/>
      <c r="I319" s="4" t="str">
        <f aca="false">IF(H319="","",ROUND((H319-G319)/H319*100,0))</f>
        <v/>
      </c>
      <c r="J319" s="3" t="s">
        <v>19</v>
      </c>
      <c r="K319" s="3" t="s">
        <v>20</v>
      </c>
      <c r="L319" s="3"/>
      <c r="M319" s="5"/>
      <c r="N319" s="6" t="s">
        <v>1250</v>
      </c>
    </row>
    <row r="320" customFormat="false" ht="26.85" hidden="false" customHeight="false" outlineLevel="0" collapsed="false">
      <c r="A320" s="2" t="s">
        <v>1251</v>
      </c>
      <c r="B320" s="3" t="s">
        <v>1252</v>
      </c>
      <c r="C320" s="3"/>
      <c r="D320" s="3" t="s">
        <v>1253</v>
      </c>
      <c r="E320" s="3" t="s">
        <v>25</v>
      </c>
      <c r="F320" s="3"/>
      <c r="G320" s="3" t="n">
        <v>86800</v>
      </c>
      <c r="H320" s="3"/>
      <c r="I320" s="4" t="str">
        <f aca="false">IF(H320="","",ROUND((H320-G320)/H320*100,0))</f>
        <v/>
      </c>
      <c r="J320" s="3" t="s">
        <v>19</v>
      </c>
      <c r="K320" s="3" t="s">
        <v>20</v>
      </c>
      <c r="L320" s="3"/>
      <c r="M320" s="5"/>
      <c r="N320" s="6" t="s">
        <v>1254</v>
      </c>
    </row>
    <row r="321" customFormat="false" ht="26.85" hidden="false" customHeight="false" outlineLevel="0" collapsed="false">
      <c r="A321" s="2" t="s">
        <v>1255</v>
      </c>
      <c r="B321" s="3" t="s">
        <v>1256</v>
      </c>
      <c r="C321" s="3"/>
      <c r="D321" s="3" t="s">
        <v>1230</v>
      </c>
      <c r="E321" s="3" t="s">
        <v>25</v>
      </c>
      <c r="F321" s="3" t="s">
        <v>26</v>
      </c>
      <c r="G321" s="3" t="n">
        <v>46500</v>
      </c>
      <c r="H321" s="3" t="n">
        <v>62775</v>
      </c>
      <c r="I321" s="4" t="n">
        <f aca="false">IF(H321="","",ROUND((H321-G321)/H321*100,0))</f>
        <v>26</v>
      </c>
      <c r="J321" s="3" t="s">
        <v>19</v>
      </c>
      <c r="K321" s="3" t="s">
        <v>19</v>
      </c>
      <c r="L321" s="3"/>
      <c r="M321" s="5"/>
      <c r="N321" s="6" t="s">
        <v>1257</v>
      </c>
    </row>
    <row r="322" customFormat="false" ht="26.85" hidden="false" customHeight="false" outlineLevel="0" collapsed="false">
      <c r="A322" s="2" t="s">
        <v>1258</v>
      </c>
      <c r="B322" s="3" t="s">
        <v>1259</v>
      </c>
      <c r="C322" s="3" t="s">
        <v>1260</v>
      </c>
      <c r="D322" s="3" t="s">
        <v>1261</v>
      </c>
      <c r="E322" s="3" t="s">
        <v>25</v>
      </c>
      <c r="F322" s="3" t="s">
        <v>26</v>
      </c>
      <c r="G322" s="3" t="n">
        <v>43500</v>
      </c>
      <c r="H322" s="3" t="n">
        <v>58725</v>
      </c>
      <c r="I322" s="4" t="n">
        <f aca="false">IF(H322="","",ROUND((H322-G322)/H322*100,0))</f>
        <v>26</v>
      </c>
      <c r="J322" s="3" t="s">
        <v>19</v>
      </c>
      <c r="K322" s="3" t="s">
        <v>20</v>
      </c>
      <c r="L322" s="3"/>
      <c r="M322" s="5"/>
      <c r="N322" s="6" t="s">
        <v>1262</v>
      </c>
    </row>
    <row r="323" customFormat="false" ht="26.85" hidden="false" customHeight="false" outlineLevel="0" collapsed="false">
      <c r="A323" s="2" t="s">
        <v>1263</v>
      </c>
      <c r="B323" s="3" t="s">
        <v>1264</v>
      </c>
      <c r="C323" s="3"/>
      <c r="D323" s="3" t="s">
        <v>1265</v>
      </c>
      <c r="E323" s="3" t="s">
        <v>17</v>
      </c>
      <c r="F323" s="3"/>
      <c r="G323" s="3" t="n">
        <v>107000</v>
      </c>
      <c r="H323" s="3" t="n">
        <v>144450</v>
      </c>
      <c r="I323" s="4" t="n">
        <f aca="false">IF(H323="","",ROUND((H323-G323)/H323*100,0))</f>
        <v>26</v>
      </c>
      <c r="J323" s="3" t="s">
        <v>19</v>
      </c>
      <c r="K323" s="3" t="s">
        <v>20</v>
      </c>
      <c r="L323" s="3"/>
      <c r="M323" s="5"/>
      <c r="N323" s="6" t="s">
        <v>1266</v>
      </c>
    </row>
    <row r="324" customFormat="false" ht="26.85" hidden="false" customHeight="false" outlineLevel="0" collapsed="false">
      <c r="A324" s="2" t="s">
        <v>1267</v>
      </c>
      <c r="B324" s="3" t="s">
        <v>1268</v>
      </c>
      <c r="C324" s="3" t="s">
        <v>572</v>
      </c>
      <c r="D324" s="3" t="s">
        <v>1269</v>
      </c>
      <c r="E324" s="3" t="s">
        <v>17</v>
      </c>
      <c r="F324" s="3" t="s">
        <v>18</v>
      </c>
      <c r="G324" s="3" t="n">
        <v>28400</v>
      </c>
      <c r="H324" s="3" t="n">
        <v>38340</v>
      </c>
      <c r="I324" s="4" t="n">
        <f aca="false">IF(H324="","",ROUND((H324-G324)/H324*100,0))</f>
        <v>26</v>
      </c>
      <c r="J324" s="3" t="s">
        <v>19</v>
      </c>
      <c r="K324" s="3" t="s">
        <v>20</v>
      </c>
      <c r="L324" s="3"/>
      <c r="M324" s="5"/>
      <c r="N324" s="6" t="s">
        <v>1270</v>
      </c>
    </row>
    <row r="325" customFormat="false" ht="26.85" hidden="false" customHeight="false" outlineLevel="0" collapsed="false">
      <c r="A325" s="2" t="s">
        <v>1271</v>
      </c>
      <c r="B325" s="3" t="s">
        <v>1272</v>
      </c>
      <c r="C325" s="3"/>
      <c r="D325" s="3" t="s">
        <v>688</v>
      </c>
      <c r="E325" s="3" t="s">
        <v>17</v>
      </c>
      <c r="F325" s="3" t="s">
        <v>684</v>
      </c>
      <c r="G325" s="3" t="n">
        <v>30500</v>
      </c>
      <c r="H325" s="3"/>
      <c r="I325" s="4" t="str">
        <f aca="false">IF(H325="","",ROUND((H325-G325)/H325*100,0))</f>
        <v/>
      </c>
      <c r="J325" s="3" t="s">
        <v>19</v>
      </c>
      <c r="K325" s="3" t="s">
        <v>20</v>
      </c>
      <c r="L325" s="3"/>
      <c r="M325" s="5"/>
      <c r="N325" s="6" t="s">
        <v>1273</v>
      </c>
    </row>
    <row r="326" customFormat="false" ht="26.85" hidden="false" customHeight="false" outlineLevel="0" collapsed="false">
      <c r="A326" s="2" t="s">
        <v>1274</v>
      </c>
      <c r="B326" s="3" t="s">
        <v>1275</v>
      </c>
      <c r="C326" s="3"/>
      <c r="D326" s="3"/>
      <c r="E326" s="3" t="s">
        <v>17</v>
      </c>
      <c r="F326" s="3"/>
      <c r="G326" s="3" t="n">
        <v>23400</v>
      </c>
      <c r="H326" s="3"/>
      <c r="I326" s="4" t="str">
        <f aca="false">IF(H326="","",ROUND((H326-G326)/H326*100,0))</f>
        <v/>
      </c>
      <c r="J326" s="3" t="s">
        <v>19</v>
      </c>
      <c r="K326" s="3" t="s">
        <v>20</v>
      </c>
      <c r="L326" s="3"/>
      <c r="M326" s="5"/>
      <c r="N326" s="6" t="s">
        <v>1276</v>
      </c>
    </row>
    <row r="327" customFormat="false" ht="26.85" hidden="false" customHeight="false" outlineLevel="0" collapsed="false">
      <c r="A327" s="2" t="s">
        <v>1277</v>
      </c>
      <c r="B327" s="3" t="s">
        <v>1278</v>
      </c>
      <c r="C327" s="3"/>
      <c r="D327" s="3" t="s">
        <v>579</v>
      </c>
      <c r="E327" s="3" t="s">
        <v>17</v>
      </c>
      <c r="F327" s="3" t="s">
        <v>161</v>
      </c>
      <c r="G327" s="3" t="n">
        <v>11100</v>
      </c>
      <c r="H327" s="3"/>
      <c r="I327" s="4" t="str">
        <f aca="false">IF(H327="","",ROUND((H327-G327)/H327*100,0))</f>
        <v/>
      </c>
      <c r="J327" s="3" t="s">
        <v>19</v>
      </c>
      <c r="K327" s="3" t="s">
        <v>20</v>
      </c>
      <c r="L327" s="3"/>
      <c r="M327" s="5"/>
      <c r="N327" s="6" t="s">
        <v>1279</v>
      </c>
    </row>
    <row r="328" customFormat="false" ht="26.85" hidden="false" customHeight="false" outlineLevel="0" collapsed="false">
      <c r="A328" s="2" t="s">
        <v>1280</v>
      </c>
      <c r="B328" s="3" t="s">
        <v>1281</v>
      </c>
      <c r="C328" s="3"/>
      <c r="D328" s="3" t="s">
        <v>1282</v>
      </c>
      <c r="E328" s="3" t="s">
        <v>17</v>
      </c>
      <c r="F328" s="3" t="s">
        <v>161</v>
      </c>
      <c r="G328" s="3" t="n">
        <v>51500</v>
      </c>
      <c r="H328" s="3"/>
      <c r="I328" s="4" t="str">
        <f aca="false">IF(H328="","",ROUND((H328-G328)/H328*100,0))</f>
        <v/>
      </c>
      <c r="J328" s="3" t="s">
        <v>19</v>
      </c>
      <c r="K328" s="3" t="s">
        <v>20</v>
      </c>
      <c r="L328" s="3"/>
      <c r="M328" s="5"/>
      <c r="N328" s="6" t="s">
        <v>1283</v>
      </c>
    </row>
    <row r="329" customFormat="false" ht="26.85" hidden="false" customHeight="false" outlineLevel="0" collapsed="false">
      <c r="A329" s="2" t="s">
        <v>1284</v>
      </c>
      <c r="B329" s="3" t="s">
        <v>1285</v>
      </c>
      <c r="C329" s="3" t="s">
        <v>1286</v>
      </c>
      <c r="D329" s="3" t="s">
        <v>817</v>
      </c>
      <c r="E329" s="3" t="s">
        <v>17</v>
      </c>
      <c r="F329" s="3" t="s">
        <v>83</v>
      </c>
      <c r="G329" s="3" t="n">
        <v>31000</v>
      </c>
      <c r="H329" s="3" t="n">
        <v>41850</v>
      </c>
      <c r="I329" s="4" t="n">
        <f aca="false">IF(H329="","",ROUND((H329-G329)/H329*100,0))</f>
        <v>26</v>
      </c>
      <c r="J329" s="3" t="s">
        <v>19</v>
      </c>
      <c r="K329" s="3" t="s">
        <v>20</v>
      </c>
      <c r="L329" s="3"/>
      <c r="M329" s="5"/>
      <c r="N329" s="6" t="s">
        <v>1287</v>
      </c>
    </row>
    <row r="330" customFormat="false" ht="26.85" hidden="false" customHeight="false" outlineLevel="0" collapsed="false">
      <c r="A330" s="2" t="s">
        <v>1288</v>
      </c>
      <c r="B330" s="3" t="s">
        <v>1289</v>
      </c>
      <c r="C330" s="3" t="s">
        <v>1290</v>
      </c>
      <c r="D330" s="3" t="s">
        <v>591</v>
      </c>
      <c r="E330" s="3" t="s">
        <v>17</v>
      </c>
      <c r="F330" s="3" t="s">
        <v>18</v>
      </c>
      <c r="G330" s="3" t="n">
        <v>31900</v>
      </c>
      <c r="H330" s="3" t="n">
        <v>43065</v>
      </c>
      <c r="I330" s="4" t="n">
        <f aca="false">IF(H330="","",ROUND((H330-G330)/H330*100,0))</f>
        <v>26</v>
      </c>
      <c r="J330" s="3" t="s">
        <v>19</v>
      </c>
      <c r="K330" s="3" t="s">
        <v>20</v>
      </c>
      <c r="L330" s="3"/>
      <c r="M330" s="5"/>
      <c r="N330" s="6" t="s">
        <v>1291</v>
      </c>
    </row>
    <row r="331" customFormat="false" ht="39.55" hidden="false" customHeight="false" outlineLevel="0" collapsed="false">
      <c r="A331" s="2" t="s">
        <v>1292</v>
      </c>
      <c r="B331" s="3" t="s">
        <v>1293</v>
      </c>
      <c r="C331" s="3"/>
      <c r="D331" s="3" t="s">
        <v>1294</v>
      </c>
      <c r="E331" s="3" t="s">
        <v>17</v>
      </c>
      <c r="F331" s="3"/>
      <c r="G331" s="3" t="n">
        <v>36400</v>
      </c>
      <c r="H331" s="3" t="n">
        <v>49140</v>
      </c>
      <c r="I331" s="4" t="n">
        <f aca="false">IF(H331="","",ROUND((H331-G331)/H331*100,0))</f>
        <v>26</v>
      </c>
      <c r="J331" s="3" t="s">
        <v>19</v>
      </c>
      <c r="K331" s="3" t="s">
        <v>20</v>
      </c>
      <c r="L331" s="3"/>
      <c r="M331" s="5"/>
      <c r="N331" s="6" t="s">
        <v>1295</v>
      </c>
    </row>
    <row r="332" customFormat="false" ht="26.85" hidden="false" customHeight="false" outlineLevel="0" collapsed="false">
      <c r="A332" s="2" t="s">
        <v>1296</v>
      </c>
      <c r="B332" s="3" t="s">
        <v>1297</v>
      </c>
      <c r="C332" s="3"/>
      <c r="D332" s="3" t="s">
        <v>1230</v>
      </c>
      <c r="E332" s="3" t="s">
        <v>17</v>
      </c>
      <c r="F332" s="3" t="s">
        <v>26</v>
      </c>
      <c r="G332" s="3" t="n">
        <v>27900</v>
      </c>
      <c r="H332" s="3"/>
      <c r="I332" s="4" t="str">
        <f aca="false">IF(H332="","",ROUND((H332-G332)/H332*100,0))</f>
        <v/>
      </c>
      <c r="J332" s="3" t="s">
        <v>19</v>
      </c>
      <c r="K332" s="3" t="s">
        <v>20</v>
      </c>
      <c r="L332" s="3"/>
      <c r="M332" s="5"/>
      <c r="N332" s="6" t="s">
        <v>1298</v>
      </c>
    </row>
    <row r="333" customFormat="false" ht="39.55" hidden="false" customHeight="false" outlineLevel="0" collapsed="false">
      <c r="A333" s="2" t="s">
        <v>1299</v>
      </c>
      <c r="B333" s="3" t="s">
        <v>1300</v>
      </c>
      <c r="C333" s="3"/>
      <c r="D333" s="3" t="s">
        <v>602</v>
      </c>
      <c r="E333" s="3" t="s">
        <v>17</v>
      </c>
      <c r="F333" s="3"/>
      <c r="G333" s="3" t="n">
        <v>68500</v>
      </c>
      <c r="H333" s="3"/>
      <c r="I333" s="4" t="str">
        <f aca="false">IF(H333="","",ROUND((H333-G333)/H333*100,0))</f>
        <v/>
      </c>
      <c r="J333" s="3" t="s">
        <v>19</v>
      </c>
      <c r="K333" s="3" t="s">
        <v>20</v>
      </c>
      <c r="L333" s="3"/>
      <c r="M333" s="5"/>
      <c r="N333" s="6" t="s">
        <v>1301</v>
      </c>
    </row>
    <row r="334" customFormat="false" ht="26.85" hidden="false" customHeight="false" outlineLevel="0" collapsed="false">
      <c r="A334" s="2" t="s">
        <v>1302</v>
      </c>
      <c r="B334" s="3" t="s">
        <v>1303</v>
      </c>
      <c r="C334" s="3"/>
      <c r="D334" s="3" t="s">
        <v>1304</v>
      </c>
      <c r="E334" s="3" t="s">
        <v>17</v>
      </c>
      <c r="F334" s="3"/>
      <c r="G334" s="3" t="n">
        <v>17500</v>
      </c>
      <c r="H334" s="3" t="n">
        <v>23625</v>
      </c>
      <c r="I334" s="4" t="n">
        <f aca="false">IF(H334="","",ROUND((H334-G334)/H334*100,0))</f>
        <v>26</v>
      </c>
      <c r="J334" s="3" t="s">
        <v>19</v>
      </c>
      <c r="K334" s="3" t="s">
        <v>20</v>
      </c>
      <c r="L334" s="3"/>
      <c r="M334" s="5"/>
      <c r="N334" s="6" t="s">
        <v>1305</v>
      </c>
    </row>
    <row r="335" customFormat="false" ht="26.85" hidden="false" customHeight="false" outlineLevel="0" collapsed="false">
      <c r="A335" s="2" t="s">
        <v>1306</v>
      </c>
      <c r="B335" s="3" t="s">
        <v>1307</v>
      </c>
      <c r="C335" s="3" t="s">
        <v>610</v>
      </c>
      <c r="D335" s="3" t="s">
        <v>235</v>
      </c>
      <c r="E335" s="3" t="s">
        <v>17</v>
      </c>
      <c r="F335" s="3" t="s">
        <v>83</v>
      </c>
      <c r="G335" s="3" t="n">
        <v>26200</v>
      </c>
      <c r="H335" s="3" t="n">
        <v>35370</v>
      </c>
      <c r="I335" s="4" t="n">
        <f aca="false">IF(H335="","",ROUND((H335-G335)/H335*100,0))</f>
        <v>26</v>
      </c>
      <c r="J335" s="3" t="s">
        <v>19</v>
      </c>
      <c r="K335" s="3" t="s">
        <v>20</v>
      </c>
      <c r="L335" s="3"/>
      <c r="M335" s="5"/>
      <c r="N335" s="6" t="s">
        <v>1308</v>
      </c>
    </row>
    <row r="336" customFormat="false" ht="26.85" hidden="false" customHeight="false" outlineLevel="0" collapsed="false">
      <c r="A336" s="2" t="s">
        <v>1309</v>
      </c>
      <c r="B336" s="3" t="s">
        <v>1310</v>
      </c>
      <c r="C336" s="3"/>
      <c r="D336" s="3" t="s">
        <v>1311</v>
      </c>
      <c r="E336" s="3" t="s">
        <v>17</v>
      </c>
      <c r="F336" s="3"/>
      <c r="G336" s="3" t="n">
        <v>102000</v>
      </c>
      <c r="H336" s="3" t="n">
        <v>137700</v>
      </c>
      <c r="I336" s="4" t="n">
        <f aca="false">IF(H336="","",ROUND((H336-G336)/H336*100,0))</f>
        <v>26</v>
      </c>
      <c r="J336" s="3" t="s">
        <v>19</v>
      </c>
      <c r="K336" s="3" t="s">
        <v>20</v>
      </c>
      <c r="L336" s="3"/>
      <c r="M336" s="5"/>
      <c r="N336" s="6" t="s">
        <v>1312</v>
      </c>
    </row>
    <row r="337" customFormat="false" ht="39.55" hidden="false" customHeight="false" outlineLevel="0" collapsed="false">
      <c r="A337" s="2" t="s">
        <v>1313</v>
      </c>
      <c r="B337" s="3" t="s">
        <v>1314</v>
      </c>
      <c r="C337" s="3"/>
      <c r="D337" s="3" t="s">
        <v>618</v>
      </c>
      <c r="E337" s="3" t="s">
        <v>17</v>
      </c>
      <c r="F337" s="3"/>
      <c r="G337" s="3" t="n">
        <v>83500</v>
      </c>
      <c r="H337" s="3"/>
      <c r="I337" s="4" t="str">
        <f aca="false">IF(H337="","",ROUND((H337-G337)/H337*100,0))</f>
        <v/>
      </c>
      <c r="J337" s="3" t="s">
        <v>19</v>
      </c>
      <c r="K337" s="3" t="s">
        <v>20</v>
      </c>
      <c r="L337" s="3"/>
      <c r="M337" s="5"/>
      <c r="N337" s="6" t="s">
        <v>1315</v>
      </c>
    </row>
    <row r="338" customFormat="false" ht="26.85" hidden="false" customHeight="false" outlineLevel="0" collapsed="false">
      <c r="A338" s="2" t="s">
        <v>1316</v>
      </c>
      <c r="B338" s="3" t="s">
        <v>1317</v>
      </c>
      <c r="C338" s="3"/>
      <c r="D338" s="3" t="s">
        <v>1318</v>
      </c>
      <c r="E338" s="3" t="s">
        <v>1319</v>
      </c>
      <c r="F338" s="3"/>
      <c r="G338" s="3" t="n">
        <v>16300</v>
      </c>
      <c r="H338" s="3"/>
      <c r="I338" s="4" t="str">
        <f aca="false">IF(H338="","",ROUND((H338-G338)/H338*100,0))</f>
        <v/>
      </c>
      <c r="J338" s="3" t="s">
        <v>19</v>
      </c>
      <c r="K338" s="3" t="s">
        <v>20</v>
      </c>
      <c r="L338" s="3"/>
      <c r="M338" s="5"/>
      <c r="N338" s="6" t="s">
        <v>1320</v>
      </c>
    </row>
    <row r="339" customFormat="false" ht="26.85" hidden="false" customHeight="false" outlineLevel="0" collapsed="false">
      <c r="A339" s="2" t="s">
        <v>1321</v>
      </c>
      <c r="B339" s="3" t="s">
        <v>1322</v>
      </c>
      <c r="C339" s="3"/>
      <c r="D339" s="3" t="s">
        <v>633</v>
      </c>
      <c r="E339" s="3" t="s">
        <v>17</v>
      </c>
      <c r="F339" s="3"/>
      <c r="G339" s="3" t="n">
        <v>15300</v>
      </c>
      <c r="H339" s="3" t="n">
        <v>20655</v>
      </c>
      <c r="I339" s="4" t="n">
        <f aca="false">IF(H339="","",ROUND((H339-G339)/H339*100,0))</f>
        <v>26</v>
      </c>
      <c r="J339" s="3" t="s">
        <v>19</v>
      </c>
      <c r="K339" s="3" t="s">
        <v>20</v>
      </c>
      <c r="L339" s="3"/>
      <c r="M339" s="5"/>
      <c r="N339" s="6" t="s">
        <v>1323</v>
      </c>
    </row>
    <row r="340" customFormat="false" ht="26.85" hidden="false" customHeight="false" outlineLevel="0" collapsed="false">
      <c r="A340" s="2" t="s">
        <v>1324</v>
      </c>
      <c r="B340" s="3" t="s">
        <v>1325</v>
      </c>
      <c r="C340" s="3"/>
      <c r="D340" s="3" t="s">
        <v>421</v>
      </c>
      <c r="E340" s="3" t="s">
        <v>17</v>
      </c>
      <c r="F340" s="3"/>
      <c r="G340" s="3" t="n">
        <v>31700</v>
      </c>
      <c r="H340" s="3"/>
      <c r="I340" s="4" t="str">
        <f aca="false">IF(H340="","",ROUND((H340-G340)/H340*100,0))</f>
        <v/>
      </c>
      <c r="J340" s="3" t="s">
        <v>19</v>
      </c>
      <c r="K340" s="3" t="s">
        <v>20</v>
      </c>
      <c r="L340" s="3"/>
      <c r="M340" s="5"/>
      <c r="N340" s="6" t="s">
        <v>1326</v>
      </c>
    </row>
    <row r="341" customFormat="false" ht="26.85" hidden="false" customHeight="false" outlineLevel="0" collapsed="false">
      <c r="A341" s="2" t="s">
        <v>1327</v>
      </c>
      <c r="B341" s="3" t="s">
        <v>1328</v>
      </c>
      <c r="C341" s="3"/>
      <c r="D341" s="3" t="s">
        <v>1329</v>
      </c>
      <c r="E341" s="3" t="s">
        <v>1319</v>
      </c>
      <c r="F341" s="3" t="s">
        <v>102</v>
      </c>
      <c r="G341" s="3" t="n">
        <v>45200</v>
      </c>
      <c r="H341" s="3"/>
      <c r="I341" s="4" t="str">
        <f aca="false">IF(H341="","",ROUND((H341-G341)/H341*100,0))</f>
        <v/>
      </c>
      <c r="J341" s="3" t="s">
        <v>19</v>
      </c>
      <c r="K341" s="3" t="s">
        <v>20</v>
      </c>
      <c r="L341" s="3"/>
      <c r="M341" s="5"/>
      <c r="N341" s="6" t="s">
        <v>1330</v>
      </c>
    </row>
    <row r="342" customFormat="false" ht="26.85" hidden="false" customHeight="false" outlineLevel="0" collapsed="false">
      <c r="A342" s="2" t="s">
        <v>1331</v>
      </c>
      <c r="B342" s="3" t="s">
        <v>1332</v>
      </c>
      <c r="C342" s="3"/>
      <c r="D342" s="3"/>
      <c r="E342" s="3" t="s">
        <v>17</v>
      </c>
      <c r="F342" s="3"/>
      <c r="G342" s="3" t="n">
        <v>47600</v>
      </c>
      <c r="H342" s="3" t="n">
        <v>64260</v>
      </c>
      <c r="I342" s="4" t="n">
        <f aca="false">IF(H342="","",ROUND((H342-G342)/H342*100,0))</f>
        <v>26</v>
      </c>
      <c r="J342" s="3" t="s">
        <v>19</v>
      </c>
      <c r="K342" s="3" t="s">
        <v>20</v>
      </c>
      <c r="L342" s="3"/>
      <c r="M342" s="5"/>
      <c r="N342" s="6" t="s">
        <v>1333</v>
      </c>
    </row>
    <row r="343" customFormat="false" ht="26.85" hidden="false" customHeight="false" outlineLevel="0" collapsed="false">
      <c r="A343" s="2" t="s">
        <v>1334</v>
      </c>
      <c r="B343" s="3" t="s">
        <v>1335</v>
      </c>
      <c r="C343" s="3" t="s">
        <v>1336</v>
      </c>
      <c r="D343" s="3" t="s">
        <v>1235</v>
      </c>
      <c r="E343" s="3" t="s">
        <v>325</v>
      </c>
      <c r="F343" s="3" t="s">
        <v>1231</v>
      </c>
      <c r="G343" s="3" t="n">
        <v>26600</v>
      </c>
      <c r="H343" s="3"/>
      <c r="I343" s="4" t="str">
        <f aca="false">IF(H343="","",ROUND((H343-G343)/H343*100,0))</f>
        <v/>
      </c>
      <c r="J343" s="3" t="s">
        <v>19</v>
      </c>
      <c r="K343" s="3" t="s">
        <v>20</v>
      </c>
      <c r="L343" s="3"/>
      <c r="M343" s="5"/>
      <c r="N343" s="6" t="s">
        <v>1337</v>
      </c>
    </row>
    <row r="344" customFormat="false" ht="26.85" hidden="false" customHeight="false" outlineLevel="0" collapsed="false">
      <c r="A344" s="2" t="s">
        <v>1338</v>
      </c>
      <c r="B344" s="3" t="s">
        <v>1339</v>
      </c>
      <c r="C344" s="3" t="s">
        <v>1336</v>
      </c>
      <c r="D344" s="3" t="s">
        <v>1340</v>
      </c>
      <c r="E344" s="3" t="s">
        <v>325</v>
      </c>
      <c r="F344" s="3" t="s">
        <v>1231</v>
      </c>
      <c r="G344" s="3" t="n">
        <v>14700</v>
      </c>
      <c r="H344" s="3" t="n">
        <v>19845</v>
      </c>
      <c r="I344" s="4" t="n">
        <f aca="false">IF(H344="","",ROUND((H344-G344)/H344*100,0))</f>
        <v>26</v>
      </c>
      <c r="J344" s="3" t="s">
        <v>19</v>
      </c>
      <c r="K344" s="3" t="s">
        <v>20</v>
      </c>
      <c r="L344" s="3"/>
      <c r="M344" s="5"/>
      <c r="N344" s="6" t="s">
        <v>1341</v>
      </c>
    </row>
    <row r="345" customFormat="false" ht="26.85" hidden="false" customHeight="false" outlineLevel="0" collapsed="false">
      <c r="A345" s="2" t="s">
        <v>1342</v>
      </c>
      <c r="B345" s="3" t="s">
        <v>1343</v>
      </c>
      <c r="C345" s="3" t="s">
        <v>1336</v>
      </c>
      <c r="D345" s="3" t="s">
        <v>1340</v>
      </c>
      <c r="E345" s="3" t="s">
        <v>325</v>
      </c>
      <c r="F345" s="3" t="s">
        <v>1231</v>
      </c>
      <c r="G345" s="3" t="n">
        <v>13900</v>
      </c>
      <c r="H345" s="3"/>
      <c r="I345" s="4" t="str">
        <f aca="false">IF(H345="","",ROUND((H345-G345)/H345*100,0))</f>
        <v/>
      </c>
      <c r="J345" s="3" t="s">
        <v>19</v>
      </c>
      <c r="K345" s="3" t="s">
        <v>20</v>
      </c>
      <c r="L345" s="3"/>
      <c r="M345" s="5"/>
      <c r="N345" s="6" t="s">
        <v>1344</v>
      </c>
    </row>
    <row r="346" customFormat="false" ht="26.85" hidden="false" customHeight="false" outlineLevel="0" collapsed="false">
      <c r="A346" s="2" t="s">
        <v>1345</v>
      </c>
      <c r="B346" s="3" t="s">
        <v>1346</v>
      </c>
      <c r="C346" s="3" t="s">
        <v>923</v>
      </c>
      <c r="D346" s="3" t="s">
        <v>1235</v>
      </c>
      <c r="E346" s="3" t="s">
        <v>325</v>
      </c>
      <c r="F346" s="3" t="s">
        <v>925</v>
      </c>
      <c r="G346" s="3" t="n">
        <v>15500</v>
      </c>
      <c r="H346" s="3"/>
      <c r="I346" s="4" t="str">
        <f aca="false">IF(H346="","",ROUND((H346-G346)/H346*100,0))</f>
        <v/>
      </c>
      <c r="J346" s="3" t="s">
        <v>19</v>
      </c>
      <c r="K346" s="3" t="s">
        <v>20</v>
      </c>
      <c r="L346" s="3"/>
      <c r="M346" s="5"/>
      <c r="N346" s="6" t="s">
        <v>1347</v>
      </c>
    </row>
    <row r="347" customFormat="false" ht="26.85" hidden="false" customHeight="false" outlineLevel="0" collapsed="false">
      <c r="A347" s="2" t="s">
        <v>1348</v>
      </c>
      <c r="B347" s="3" t="s">
        <v>1349</v>
      </c>
      <c r="C347" s="3" t="s">
        <v>923</v>
      </c>
      <c r="D347" s="3" t="s">
        <v>1340</v>
      </c>
      <c r="E347" s="3" t="s">
        <v>325</v>
      </c>
      <c r="F347" s="3" t="s">
        <v>925</v>
      </c>
      <c r="G347" s="3" t="n">
        <v>13000</v>
      </c>
      <c r="H347" s="3"/>
      <c r="I347" s="4" t="str">
        <f aca="false">IF(H347="","",ROUND((H347-G347)/H347*100,0))</f>
        <v/>
      </c>
      <c r="J347" s="3" t="s">
        <v>19</v>
      </c>
      <c r="K347" s="3" t="s">
        <v>20</v>
      </c>
      <c r="L347" s="3"/>
      <c r="M347" s="5"/>
      <c r="N347" s="6" t="s">
        <v>1350</v>
      </c>
    </row>
    <row r="348" customFormat="false" ht="26.85" hidden="false" customHeight="false" outlineLevel="0" collapsed="false">
      <c r="A348" s="2" t="s">
        <v>1351</v>
      </c>
      <c r="B348" s="3" t="s">
        <v>1352</v>
      </c>
      <c r="C348" s="3"/>
      <c r="D348" s="3" t="s">
        <v>1353</v>
      </c>
      <c r="E348" s="3" t="s">
        <v>17</v>
      </c>
      <c r="F348" s="3"/>
      <c r="G348" s="3" t="n">
        <v>49500</v>
      </c>
      <c r="H348" s="3"/>
      <c r="I348" s="4" t="str">
        <f aca="false">IF(H348="","",ROUND((H348-G348)/H348*100,0))</f>
        <v/>
      </c>
      <c r="J348" s="3" t="s">
        <v>19</v>
      </c>
      <c r="K348" s="3" t="s">
        <v>20</v>
      </c>
      <c r="L348" s="3"/>
      <c r="M348" s="5"/>
      <c r="N348" s="6" t="s">
        <v>1354</v>
      </c>
    </row>
    <row r="349" customFormat="false" ht="26.85" hidden="false" customHeight="false" outlineLevel="0" collapsed="false">
      <c r="A349" s="2" t="s">
        <v>1355</v>
      </c>
      <c r="B349" s="3" t="s">
        <v>1356</v>
      </c>
      <c r="C349" s="3"/>
      <c r="D349" s="3" t="s">
        <v>1357</v>
      </c>
      <c r="E349" s="3" t="s">
        <v>17</v>
      </c>
      <c r="F349" s="3"/>
      <c r="G349" s="3" t="n">
        <v>62500</v>
      </c>
      <c r="H349" s="3"/>
      <c r="I349" s="4" t="str">
        <f aca="false">IF(H349="","",ROUND((H349-G349)/H349*100,0))</f>
        <v/>
      </c>
      <c r="J349" s="3" t="s">
        <v>19</v>
      </c>
      <c r="K349" s="3" t="s">
        <v>20</v>
      </c>
      <c r="L349" s="3"/>
      <c r="M349" s="5"/>
      <c r="N349" s="6" t="s">
        <v>1358</v>
      </c>
    </row>
    <row r="350" customFormat="false" ht="26.85" hidden="false" customHeight="false" outlineLevel="0" collapsed="false">
      <c r="A350" s="2" t="s">
        <v>1359</v>
      </c>
      <c r="B350" s="3" t="s">
        <v>1360</v>
      </c>
      <c r="C350" s="3"/>
      <c r="D350" s="3"/>
      <c r="E350" s="3" t="s">
        <v>1319</v>
      </c>
      <c r="F350" s="3" t="s">
        <v>374</v>
      </c>
      <c r="G350" s="3" t="n">
        <v>9900</v>
      </c>
      <c r="H350" s="3"/>
      <c r="I350" s="4" t="str">
        <f aca="false">IF(H350="","",ROUND((H350-G350)/H350*100,0))</f>
        <v/>
      </c>
      <c r="J350" s="3" t="s">
        <v>19</v>
      </c>
      <c r="K350" s="3" t="s">
        <v>20</v>
      </c>
      <c r="L350" s="3"/>
      <c r="M350" s="5"/>
      <c r="N350" s="6" t="s">
        <v>1361</v>
      </c>
    </row>
    <row r="351" customFormat="false" ht="26.85" hidden="false" customHeight="false" outlineLevel="0" collapsed="false">
      <c r="A351" s="2" t="s">
        <v>1362</v>
      </c>
      <c r="B351" s="3" t="s">
        <v>1363</v>
      </c>
      <c r="C351" s="3"/>
      <c r="D351" s="3"/>
      <c r="E351" s="3" t="s">
        <v>1319</v>
      </c>
      <c r="F351" s="3" t="s">
        <v>374</v>
      </c>
      <c r="G351" s="3" t="n">
        <v>20500</v>
      </c>
      <c r="H351" s="3" t="n">
        <v>27675</v>
      </c>
      <c r="I351" s="4" t="n">
        <f aca="false">IF(H351="","",ROUND((H351-G351)/H351*100,0))</f>
        <v>26</v>
      </c>
      <c r="J351" s="3" t="s">
        <v>19</v>
      </c>
      <c r="K351" s="3" t="s">
        <v>19</v>
      </c>
      <c r="L351" s="3"/>
      <c r="M351" s="5"/>
      <c r="N351" s="6" t="s">
        <v>1364</v>
      </c>
    </row>
    <row r="352" customFormat="false" ht="26.85" hidden="false" customHeight="false" outlineLevel="0" collapsed="false">
      <c r="A352" s="2" t="s">
        <v>1365</v>
      </c>
      <c r="B352" s="3" t="s">
        <v>1366</v>
      </c>
      <c r="C352" s="3"/>
      <c r="D352" s="3"/>
      <c r="E352" s="3" t="s">
        <v>25</v>
      </c>
      <c r="F352" s="3"/>
      <c r="G352" s="3" t="n">
        <v>106800</v>
      </c>
      <c r="H352" s="3"/>
      <c r="I352" s="4" t="str">
        <f aca="false">IF(H352="","",ROUND((H352-G352)/H352*100,0))</f>
        <v/>
      </c>
      <c r="J352" s="3" t="s">
        <v>19</v>
      </c>
      <c r="K352" s="3" t="s">
        <v>20</v>
      </c>
      <c r="L352" s="3"/>
      <c r="M352" s="5"/>
      <c r="N352" s="6" t="s">
        <v>1367</v>
      </c>
    </row>
    <row r="353" customFormat="false" ht="26.85" hidden="false" customHeight="false" outlineLevel="0" collapsed="false">
      <c r="A353" s="2" t="s">
        <v>1368</v>
      </c>
      <c r="B353" s="3" t="s">
        <v>1369</v>
      </c>
      <c r="C353" s="3" t="s">
        <v>1336</v>
      </c>
      <c r="D353" s="3" t="s">
        <v>1253</v>
      </c>
      <c r="E353" s="3" t="s">
        <v>325</v>
      </c>
      <c r="F353" s="3" t="s">
        <v>1231</v>
      </c>
      <c r="G353" s="3" t="n">
        <v>26600</v>
      </c>
      <c r="H353" s="3"/>
      <c r="I353" s="4" t="str">
        <f aca="false">IF(H353="","",ROUND((H353-G353)/H353*100,0))</f>
        <v/>
      </c>
      <c r="J353" s="3" t="s">
        <v>19</v>
      </c>
      <c r="K353" s="3" t="s">
        <v>20</v>
      </c>
      <c r="L353" s="3"/>
      <c r="M353" s="5"/>
      <c r="N353" s="6" t="s">
        <v>1370</v>
      </c>
    </row>
    <row r="354" customFormat="false" ht="26.85" hidden="false" customHeight="false" outlineLevel="0" collapsed="false">
      <c r="A354" s="2" t="s">
        <v>1371</v>
      </c>
      <c r="B354" s="3" t="s">
        <v>1372</v>
      </c>
      <c r="C354" s="3" t="s">
        <v>1336</v>
      </c>
      <c r="D354" s="3" t="s">
        <v>1235</v>
      </c>
      <c r="E354" s="3" t="s">
        <v>325</v>
      </c>
      <c r="F354" s="3" t="s">
        <v>1231</v>
      </c>
      <c r="G354" s="3" t="n">
        <v>53500</v>
      </c>
      <c r="H354" s="3"/>
      <c r="I354" s="4" t="str">
        <f aca="false">IF(H354="","",ROUND((H354-G354)/H354*100,0))</f>
        <v/>
      </c>
      <c r="J354" s="3" t="s">
        <v>19</v>
      </c>
      <c r="K354" s="3" t="s">
        <v>20</v>
      </c>
      <c r="L354" s="3"/>
      <c r="M354" s="5"/>
      <c r="N354" s="6" t="s">
        <v>1373</v>
      </c>
    </row>
    <row r="355" customFormat="false" ht="26.85" hidden="false" customHeight="false" outlineLevel="0" collapsed="false">
      <c r="A355" s="2" t="s">
        <v>1374</v>
      </c>
      <c r="B355" s="3" t="s">
        <v>1375</v>
      </c>
      <c r="C355" s="3" t="s">
        <v>1336</v>
      </c>
      <c r="D355" s="3" t="s">
        <v>1376</v>
      </c>
      <c r="E355" s="3" t="s">
        <v>325</v>
      </c>
      <c r="F355" s="3" t="s">
        <v>1231</v>
      </c>
      <c r="G355" s="3" t="n">
        <v>50700</v>
      </c>
      <c r="H355" s="3"/>
      <c r="I355" s="4" t="str">
        <f aca="false">IF(H355="","",ROUND((H355-G355)/H355*100,0))</f>
        <v/>
      </c>
      <c r="J355" s="3" t="s">
        <v>19</v>
      </c>
      <c r="K355" s="3" t="s">
        <v>20</v>
      </c>
      <c r="L355" s="3"/>
      <c r="M355" s="5"/>
      <c r="N355" s="6" t="s">
        <v>1377</v>
      </c>
    </row>
    <row r="356" customFormat="false" ht="26.85" hidden="false" customHeight="false" outlineLevel="0" collapsed="false">
      <c r="A356" s="2" t="s">
        <v>1378</v>
      </c>
      <c r="B356" s="3" t="s">
        <v>1379</v>
      </c>
      <c r="C356" s="3"/>
      <c r="D356" s="3" t="s">
        <v>357</v>
      </c>
      <c r="E356" s="3" t="s">
        <v>25</v>
      </c>
      <c r="F356" s="3"/>
      <c r="G356" s="3" t="n">
        <v>4000</v>
      </c>
      <c r="H356" s="3"/>
      <c r="I356" s="4" t="str">
        <f aca="false">IF(H356="","",ROUND((H356-G356)/H356*100,0))</f>
        <v/>
      </c>
      <c r="J356" s="3" t="s">
        <v>19</v>
      </c>
      <c r="K356" s="3" t="s">
        <v>20</v>
      </c>
      <c r="L356" s="3"/>
      <c r="M356" s="5"/>
      <c r="N356" s="6" t="s">
        <v>1380</v>
      </c>
    </row>
    <row r="357" customFormat="false" ht="26.85" hidden="false" customHeight="false" outlineLevel="0" collapsed="false">
      <c r="A357" s="2" t="s">
        <v>1381</v>
      </c>
      <c r="B357" s="3" t="s">
        <v>1382</v>
      </c>
      <c r="C357" s="3"/>
      <c r="D357" s="3" t="s">
        <v>1383</v>
      </c>
      <c r="E357" s="3" t="s">
        <v>325</v>
      </c>
      <c r="F357" s="3" t="s">
        <v>925</v>
      </c>
      <c r="G357" s="3" t="n">
        <v>12900</v>
      </c>
      <c r="H357" s="3"/>
      <c r="I357" s="4" t="str">
        <f aca="false">IF(H357="","",ROUND((H357-G357)/H357*100,0))</f>
        <v/>
      </c>
      <c r="J357" s="3" t="s">
        <v>19</v>
      </c>
      <c r="K357" s="3" t="s">
        <v>20</v>
      </c>
      <c r="L357" s="3"/>
      <c r="M357" s="5"/>
      <c r="N357" s="6" t="s">
        <v>1384</v>
      </c>
    </row>
    <row r="358" customFormat="false" ht="26.85" hidden="false" customHeight="false" outlineLevel="0" collapsed="false">
      <c r="A358" s="2" t="s">
        <v>1385</v>
      </c>
      <c r="B358" s="3" t="s">
        <v>1386</v>
      </c>
      <c r="C358" s="3" t="s">
        <v>1387</v>
      </c>
      <c r="D358" s="3" t="s">
        <v>1388</v>
      </c>
      <c r="E358" s="3" t="s">
        <v>325</v>
      </c>
      <c r="F358" s="3" t="s">
        <v>925</v>
      </c>
      <c r="G358" s="3" t="n">
        <v>21800</v>
      </c>
      <c r="H358" s="3" t="n">
        <v>29430</v>
      </c>
      <c r="I358" s="4" t="n">
        <f aca="false">IF(H358="","",ROUND((H358-G358)/H358*100,0))</f>
        <v>26</v>
      </c>
      <c r="J358" s="3" t="s">
        <v>19</v>
      </c>
      <c r="K358" s="3" t="s">
        <v>20</v>
      </c>
      <c r="L358" s="3"/>
      <c r="M358" s="5"/>
      <c r="N358" s="6" t="s">
        <v>1389</v>
      </c>
    </row>
    <row r="359" customFormat="false" ht="26.85" hidden="false" customHeight="false" outlineLevel="0" collapsed="false">
      <c r="A359" s="2" t="s">
        <v>1390</v>
      </c>
      <c r="B359" s="3" t="s">
        <v>1391</v>
      </c>
      <c r="C359" s="3" t="s">
        <v>1387</v>
      </c>
      <c r="D359" s="3" t="s">
        <v>1388</v>
      </c>
      <c r="E359" s="3" t="s">
        <v>325</v>
      </c>
      <c r="F359" s="3" t="s">
        <v>925</v>
      </c>
      <c r="G359" s="3" t="n">
        <v>19800</v>
      </c>
      <c r="H359" s="3"/>
      <c r="I359" s="4" t="str">
        <f aca="false">IF(H359="","",ROUND((H359-G359)/H359*100,0))</f>
        <v/>
      </c>
      <c r="J359" s="3" t="s">
        <v>19</v>
      </c>
      <c r="K359" s="3" t="s">
        <v>20</v>
      </c>
      <c r="L359" s="3"/>
      <c r="M359" s="5"/>
      <c r="N359" s="6" t="s">
        <v>1392</v>
      </c>
    </row>
    <row r="360" customFormat="false" ht="26.85" hidden="false" customHeight="false" outlineLevel="0" collapsed="false">
      <c r="A360" s="2" t="s">
        <v>1393</v>
      </c>
      <c r="B360" s="3" t="s">
        <v>1394</v>
      </c>
      <c r="C360" s="3" t="s">
        <v>1387</v>
      </c>
      <c r="D360" s="3" t="s">
        <v>1388</v>
      </c>
      <c r="E360" s="3" t="s">
        <v>325</v>
      </c>
      <c r="F360" s="3" t="s">
        <v>925</v>
      </c>
      <c r="G360" s="3" t="n">
        <v>9800</v>
      </c>
      <c r="H360" s="3"/>
      <c r="I360" s="4" t="str">
        <f aca="false">IF(H360="","",ROUND((H360-G360)/H360*100,0))</f>
        <v/>
      </c>
      <c r="J360" s="3" t="s">
        <v>19</v>
      </c>
      <c r="K360" s="3" t="s">
        <v>20</v>
      </c>
      <c r="L360" s="3"/>
      <c r="M360" s="5"/>
      <c r="N360" s="6" t="s">
        <v>1395</v>
      </c>
    </row>
    <row r="361" customFormat="false" ht="26.85" hidden="false" customHeight="false" outlineLevel="0" collapsed="false">
      <c r="A361" s="2" t="s">
        <v>1396</v>
      </c>
      <c r="B361" s="3" t="s">
        <v>1397</v>
      </c>
      <c r="C361" s="3" t="s">
        <v>1398</v>
      </c>
      <c r="D361" s="3" t="s">
        <v>413</v>
      </c>
      <c r="E361" s="3" t="s">
        <v>325</v>
      </c>
      <c r="F361" s="3" t="s">
        <v>915</v>
      </c>
      <c r="G361" s="3" t="n">
        <v>34100</v>
      </c>
      <c r="H361" s="3" t="n">
        <v>46035</v>
      </c>
      <c r="I361" s="4" t="n">
        <f aca="false">IF(H361="","",ROUND((H361-G361)/H361*100,0))</f>
        <v>26</v>
      </c>
      <c r="J361" s="3" t="s">
        <v>19</v>
      </c>
      <c r="K361" s="3" t="s">
        <v>20</v>
      </c>
      <c r="L361" s="3"/>
      <c r="M361" s="5"/>
      <c r="N361" s="6" t="s">
        <v>1399</v>
      </c>
    </row>
    <row r="362" customFormat="false" ht="26.85" hidden="false" customHeight="false" outlineLevel="0" collapsed="false">
      <c r="A362" s="2" t="s">
        <v>1400</v>
      </c>
      <c r="B362" s="3" t="s">
        <v>1401</v>
      </c>
      <c r="C362" s="3" t="s">
        <v>1398</v>
      </c>
      <c r="D362" s="3" t="s">
        <v>413</v>
      </c>
      <c r="E362" s="3" t="s">
        <v>325</v>
      </c>
      <c r="F362" s="3" t="s">
        <v>915</v>
      </c>
      <c r="G362" s="3" t="n">
        <v>27485</v>
      </c>
      <c r="H362" s="3" t="n">
        <v>37104</v>
      </c>
      <c r="I362" s="4" t="n">
        <f aca="false">IF(H362="","",ROUND((H362-G362)/H362*100,0))</f>
        <v>26</v>
      </c>
      <c r="J362" s="3" t="s">
        <v>19</v>
      </c>
      <c r="K362" s="3" t="s">
        <v>20</v>
      </c>
      <c r="L362" s="3"/>
      <c r="M362" s="5"/>
      <c r="N362" s="6" t="s">
        <v>1402</v>
      </c>
    </row>
    <row r="363" customFormat="false" ht="26.85" hidden="false" customHeight="false" outlineLevel="0" collapsed="false">
      <c r="A363" s="2" t="s">
        <v>1403</v>
      </c>
      <c r="B363" s="3" t="s">
        <v>1404</v>
      </c>
      <c r="C363" s="3"/>
      <c r="D363" s="3" t="s">
        <v>1122</v>
      </c>
      <c r="E363" s="3" t="s">
        <v>36</v>
      </c>
      <c r="F363" s="3" t="s">
        <v>37</v>
      </c>
      <c r="G363" s="3" t="n">
        <v>24600</v>
      </c>
      <c r="H363" s="3"/>
      <c r="I363" s="4" t="str">
        <f aca="false">IF(H363="","",ROUND((H363-G363)/H363*100,0))</f>
        <v/>
      </c>
      <c r="J363" s="3" t="s">
        <v>19</v>
      </c>
      <c r="K363" s="3" t="s">
        <v>20</v>
      </c>
      <c r="L363" s="3"/>
      <c r="M363" s="5"/>
      <c r="N363" s="6" t="s">
        <v>1405</v>
      </c>
    </row>
    <row r="364" customFormat="false" ht="26.85" hidden="false" customHeight="false" outlineLevel="0" collapsed="false">
      <c r="A364" s="2" t="s">
        <v>1406</v>
      </c>
      <c r="B364" s="3" t="s">
        <v>1407</v>
      </c>
      <c r="C364" s="3"/>
      <c r="D364" s="3" t="s">
        <v>369</v>
      </c>
      <c r="E364" s="3" t="s">
        <v>17</v>
      </c>
      <c r="F364" s="3"/>
      <c r="G364" s="3" t="n">
        <v>57500</v>
      </c>
      <c r="H364" s="3"/>
      <c r="I364" s="4" t="str">
        <f aca="false">IF(H364="","",ROUND((H364-G364)/H364*100,0))</f>
        <v/>
      </c>
      <c r="J364" s="3" t="s">
        <v>19</v>
      </c>
      <c r="K364" s="3" t="s">
        <v>20</v>
      </c>
      <c r="L364" s="3"/>
      <c r="M364" s="5"/>
      <c r="N364" s="6" t="s">
        <v>1408</v>
      </c>
    </row>
    <row r="365" customFormat="false" ht="39.55" hidden="false" customHeight="false" outlineLevel="0" collapsed="false">
      <c r="A365" s="2" t="s">
        <v>1409</v>
      </c>
      <c r="B365" s="3" t="s">
        <v>1410</v>
      </c>
      <c r="C365" s="3" t="s">
        <v>743</v>
      </c>
      <c r="D365" s="3" t="s">
        <v>744</v>
      </c>
      <c r="E365" s="3" t="s">
        <v>17</v>
      </c>
      <c r="F365" s="3" t="s">
        <v>672</v>
      </c>
      <c r="G365" s="3" t="n">
        <v>6500</v>
      </c>
      <c r="H365" s="3"/>
      <c r="I365" s="4" t="str">
        <f aca="false">IF(H365="","",ROUND((H365-G365)/H365*100,0))</f>
        <v/>
      </c>
      <c r="J365" s="3" t="s">
        <v>19</v>
      </c>
      <c r="K365" s="3" t="s">
        <v>20</v>
      </c>
      <c r="L365" s="3"/>
      <c r="M365" s="5"/>
      <c r="N365" s="6" t="s">
        <v>1411</v>
      </c>
    </row>
    <row r="366" customFormat="false" ht="26.85" hidden="false" customHeight="false" outlineLevel="0" collapsed="false">
      <c r="A366" s="2" t="s">
        <v>1412</v>
      </c>
      <c r="B366" s="3" t="s">
        <v>1413</v>
      </c>
      <c r="C366" s="3"/>
      <c r="D366" s="3" t="s">
        <v>397</v>
      </c>
      <c r="E366" s="3" t="s">
        <v>17</v>
      </c>
      <c r="F366" s="3"/>
      <c r="G366" s="3" t="n">
        <v>50500</v>
      </c>
      <c r="H366" s="3"/>
      <c r="I366" s="4" t="str">
        <f aca="false">IF(H366="","",ROUND((H366-G366)/H366*100,0))</f>
        <v/>
      </c>
      <c r="J366" s="3" t="s">
        <v>19</v>
      </c>
      <c r="K366" s="3" t="s">
        <v>20</v>
      </c>
      <c r="L366" s="3"/>
      <c r="M366" s="5"/>
      <c r="N366" s="6" t="s">
        <v>1414</v>
      </c>
    </row>
    <row r="367" customFormat="false" ht="26.85" hidden="false" customHeight="false" outlineLevel="0" collapsed="false">
      <c r="A367" s="2" t="s">
        <v>1415</v>
      </c>
      <c r="B367" s="3" t="s">
        <v>1416</v>
      </c>
      <c r="C367" s="3"/>
      <c r="D367" s="3" t="s">
        <v>397</v>
      </c>
      <c r="E367" s="3" t="s">
        <v>17</v>
      </c>
      <c r="F367" s="3"/>
      <c r="G367" s="3" t="n">
        <v>55500</v>
      </c>
      <c r="H367" s="3"/>
      <c r="I367" s="4" t="str">
        <f aca="false">IF(H367="","",ROUND((H367-G367)/H367*100,0))</f>
        <v/>
      </c>
      <c r="J367" s="3" t="s">
        <v>19</v>
      </c>
      <c r="K367" s="3" t="s">
        <v>20</v>
      </c>
      <c r="L367" s="3"/>
      <c r="M367" s="5"/>
      <c r="N367" s="6" t="s">
        <v>1417</v>
      </c>
    </row>
    <row r="368" customFormat="false" ht="26.85" hidden="false" customHeight="false" outlineLevel="0" collapsed="false">
      <c r="A368" s="2" t="s">
        <v>1418</v>
      </c>
      <c r="B368" s="3" t="s">
        <v>1419</v>
      </c>
      <c r="C368" s="3"/>
      <c r="D368" s="3" t="s">
        <v>1420</v>
      </c>
      <c r="E368" s="3" t="s">
        <v>17</v>
      </c>
      <c r="F368" s="3"/>
      <c r="G368" s="3" t="n">
        <v>68000</v>
      </c>
      <c r="H368" s="3"/>
      <c r="I368" s="4" t="str">
        <f aca="false">IF(H368="","",ROUND((H368-G368)/H368*100,0))</f>
        <v/>
      </c>
      <c r="J368" s="3" t="s">
        <v>19</v>
      </c>
      <c r="K368" s="3" t="s">
        <v>20</v>
      </c>
      <c r="L368" s="3"/>
      <c r="M368" s="5"/>
      <c r="N368" s="6" t="s">
        <v>1421</v>
      </c>
    </row>
    <row r="369" customFormat="false" ht="26.85" hidden="false" customHeight="false" outlineLevel="0" collapsed="false">
      <c r="A369" s="2" t="s">
        <v>1422</v>
      </c>
      <c r="B369" s="3" t="s">
        <v>1423</v>
      </c>
      <c r="C369" s="3" t="s">
        <v>735</v>
      </c>
      <c r="D369" s="3" t="s">
        <v>1424</v>
      </c>
      <c r="E369" s="3" t="s">
        <v>17</v>
      </c>
      <c r="F369" s="3" t="s">
        <v>545</v>
      </c>
      <c r="G369" s="3" t="n">
        <v>55500</v>
      </c>
      <c r="H369" s="3"/>
      <c r="I369" s="4" t="str">
        <f aca="false">IF(H369="","",ROUND((H369-G369)/H369*100,0))</f>
        <v/>
      </c>
      <c r="J369" s="3" t="s">
        <v>19</v>
      </c>
      <c r="K369" s="3" t="s">
        <v>20</v>
      </c>
      <c r="L369" s="3"/>
      <c r="M369" s="5"/>
      <c r="N369" s="6" t="s">
        <v>1425</v>
      </c>
    </row>
    <row r="370" customFormat="false" ht="26.85" hidden="false" customHeight="false" outlineLevel="0" collapsed="false">
      <c r="A370" s="2" t="s">
        <v>1426</v>
      </c>
      <c r="B370" s="3" t="s">
        <v>1427</v>
      </c>
      <c r="C370" s="3" t="s">
        <v>730</v>
      </c>
      <c r="D370" s="3" t="s">
        <v>731</v>
      </c>
      <c r="E370" s="3" t="s">
        <v>17</v>
      </c>
      <c r="F370" s="3" t="s">
        <v>18</v>
      </c>
      <c r="G370" s="3" t="n">
        <v>16000</v>
      </c>
      <c r="H370" s="3"/>
      <c r="I370" s="4" t="str">
        <f aca="false">IF(H370="","",ROUND((H370-G370)/H370*100,0))</f>
        <v/>
      </c>
      <c r="J370" s="3" t="s">
        <v>19</v>
      </c>
      <c r="K370" s="3" t="s">
        <v>20</v>
      </c>
      <c r="L370" s="3"/>
      <c r="M370" s="5"/>
      <c r="N370" s="6" t="s">
        <v>1428</v>
      </c>
    </row>
    <row r="371" customFormat="false" ht="26.85" hidden="false" customHeight="false" outlineLevel="0" collapsed="false">
      <c r="A371" s="2" t="s">
        <v>1429</v>
      </c>
      <c r="B371" s="3" t="s">
        <v>1430</v>
      </c>
      <c r="C371" s="3"/>
      <c r="D371" s="3" t="s">
        <v>544</v>
      </c>
      <c r="E371" s="3" t="s">
        <v>17</v>
      </c>
      <c r="F371" s="3"/>
      <c r="G371" s="3" t="n">
        <v>13800</v>
      </c>
      <c r="H371" s="3"/>
      <c r="I371" s="4" t="str">
        <f aca="false">IF(H371="","",ROUND((H371-G371)/H371*100,0))</f>
        <v/>
      </c>
      <c r="J371" s="3" t="s">
        <v>19</v>
      </c>
      <c r="K371" s="3" t="s">
        <v>20</v>
      </c>
      <c r="L371" s="3"/>
      <c r="M371" s="5"/>
      <c r="N371" s="6" t="s">
        <v>1431</v>
      </c>
    </row>
    <row r="372" customFormat="false" ht="26.85" hidden="false" customHeight="false" outlineLevel="0" collapsed="false">
      <c r="A372" s="2" t="s">
        <v>1432</v>
      </c>
      <c r="B372" s="3" t="s">
        <v>1433</v>
      </c>
      <c r="C372" s="3"/>
      <c r="D372" s="3" t="s">
        <v>1434</v>
      </c>
      <c r="E372" s="3" t="s">
        <v>36</v>
      </c>
      <c r="F372" s="3"/>
      <c r="G372" s="3" t="n">
        <v>58300</v>
      </c>
      <c r="H372" s="3"/>
      <c r="I372" s="4" t="str">
        <f aca="false">IF(H372="","",ROUND((H372-G372)/H372*100,0))</f>
        <v/>
      </c>
      <c r="J372" s="3" t="s">
        <v>19</v>
      </c>
      <c r="K372" s="3" t="s">
        <v>20</v>
      </c>
      <c r="L372" s="3"/>
      <c r="M372" s="5"/>
      <c r="N372" s="6" t="s">
        <v>1435</v>
      </c>
    </row>
    <row r="373" customFormat="false" ht="26.85" hidden="false" customHeight="false" outlineLevel="0" collapsed="false">
      <c r="A373" s="2" t="s">
        <v>1436</v>
      </c>
      <c r="B373" s="3" t="s">
        <v>1437</v>
      </c>
      <c r="C373" s="3"/>
      <c r="D373" s="3" t="s">
        <v>316</v>
      </c>
      <c r="E373" s="3" t="s">
        <v>17</v>
      </c>
      <c r="F373" s="3"/>
      <c r="G373" s="3" t="n">
        <v>20400</v>
      </c>
      <c r="H373" s="3"/>
      <c r="I373" s="4" t="str">
        <f aca="false">IF(H373="","",ROUND((H373-G373)/H373*100,0))</f>
        <v/>
      </c>
      <c r="J373" s="3" t="s">
        <v>19</v>
      </c>
      <c r="K373" s="3" t="s">
        <v>20</v>
      </c>
      <c r="L373" s="3"/>
      <c r="M373" s="5"/>
      <c r="N373" s="6" t="s">
        <v>1438</v>
      </c>
    </row>
    <row r="374" customFormat="false" ht="26.85" hidden="false" customHeight="false" outlineLevel="0" collapsed="false">
      <c r="A374" s="2" t="s">
        <v>1439</v>
      </c>
      <c r="B374" s="3" t="s">
        <v>1440</v>
      </c>
      <c r="C374" s="3"/>
      <c r="D374" s="3" t="s">
        <v>1441</v>
      </c>
      <c r="E374" s="3" t="s">
        <v>17</v>
      </c>
      <c r="F374" s="3" t="s">
        <v>684</v>
      </c>
      <c r="G374" s="3" t="n">
        <v>13800</v>
      </c>
      <c r="H374" s="3" t="n">
        <v>18630</v>
      </c>
      <c r="I374" s="4" t="n">
        <f aca="false">IF(H374="","",ROUND((H374-G374)/H374*100,0))</f>
        <v>26</v>
      </c>
      <c r="J374" s="3" t="s">
        <v>19</v>
      </c>
      <c r="K374" s="3" t="s">
        <v>20</v>
      </c>
      <c r="L374" s="3"/>
      <c r="M374" s="5"/>
      <c r="N374" s="6" t="s">
        <v>1442</v>
      </c>
    </row>
    <row r="375" customFormat="false" ht="26.85" hidden="false" customHeight="false" outlineLevel="0" collapsed="false">
      <c r="A375" s="2" t="s">
        <v>1443</v>
      </c>
      <c r="B375" s="3" t="s">
        <v>1444</v>
      </c>
      <c r="C375" s="3"/>
      <c r="D375" s="3" t="s">
        <v>688</v>
      </c>
      <c r="E375" s="3" t="s">
        <v>17</v>
      </c>
      <c r="F375" s="3" t="s">
        <v>684</v>
      </c>
      <c r="G375" s="3" t="n">
        <v>4900</v>
      </c>
      <c r="H375" s="3"/>
      <c r="I375" s="4" t="str">
        <f aca="false">IF(H375="","",ROUND((H375-G375)/H375*100,0))</f>
        <v/>
      </c>
      <c r="J375" s="3" t="s">
        <v>19</v>
      </c>
      <c r="K375" s="3" t="s">
        <v>20</v>
      </c>
      <c r="L375" s="3"/>
      <c r="M375" s="5"/>
      <c r="N375" s="6" t="s">
        <v>1445</v>
      </c>
    </row>
    <row r="376" customFormat="false" ht="39.55" hidden="false" customHeight="false" outlineLevel="0" collapsed="false">
      <c r="A376" s="2" t="s">
        <v>1446</v>
      </c>
      <c r="B376" s="3" t="s">
        <v>1447</v>
      </c>
      <c r="C376" s="3"/>
      <c r="D376" s="3" t="s">
        <v>24</v>
      </c>
      <c r="E376" s="3" t="s">
        <v>17</v>
      </c>
      <c r="F376" s="3" t="s">
        <v>26</v>
      </c>
      <c r="G376" s="3" t="n">
        <v>60500</v>
      </c>
      <c r="H376" s="3"/>
      <c r="I376" s="4" t="str">
        <f aca="false">IF(H376="","",ROUND((H376-G376)/H376*100,0))</f>
        <v/>
      </c>
      <c r="J376" s="3" t="s">
        <v>19</v>
      </c>
      <c r="K376" s="3" t="s">
        <v>20</v>
      </c>
      <c r="L376" s="3"/>
      <c r="M376" s="5"/>
      <c r="N376" s="6" t="s">
        <v>1448</v>
      </c>
    </row>
    <row r="377" customFormat="false" ht="26.85" hidden="false" customHeight="false" outlineLevel="0" collapsed="false">
      <c r="A377" s="2" t="s">
        <v>1449</v>
      </c>
      <c r="B377" s="3" t="s">
        <v>1450</v>
      </c>
      <c r="C377" s="3"/>
      <c r="D377" s="3" t="s">
        <v>144</v>
      </c>
      <c r="E377" s="3" t="s">
        <v>17</v>
      </c>
      <c r="F377" s="3"/>
      <c r="G377" s="3" t="n">
        <v>84000</v>
      </c>
      <c r="H377" s="3"/>
      <c r="I377" s="4" t="str">
        <f aca="false">IF(H377="","",ROUND((H377-G377)/H377*100,0))</f>
        <v/>
      </c>
      <c r="J377" s="3" t="s">
        <v>19</v>
      </c>
      <c r="K377" s="3" t="s">
        <v>20</v>
      </c>
      <c r="L377" s="3"/>
      <c r="M377" s="5"/>
      <c r="N377" s="6" t="s">
        <v>1451</v>
      </c>
    </row>
    <row r="378" customFormat="false" ht="26.85" hidden="false" customHeight="false" outlineLevel="0" collapsed="false">
      <c r="A378" s="2" t="s">
        <v>1452</v>
      </c>
      <c r="B378" s="3" t="s">
        <v>1453</v>
      </c>
      <c r="C378" s="3"/>
      <c r="D378" s="3" t="s">
        <v>156</v>
      </c>
      <c r="E378" s="3" t="s">
        <v>17</v>
      </c>
      <c r="F378" s="3"/>
      <c r="G378" s="3" t="n">
        <v>16000</v>
      </c>
      <c r="H378" s="3"/>
      <c r="I378" s="4" t="str">
        <f aca="false">IF(H378="","",ROUND((H378-G378)/H378*100,0))</f>
        <v/>
      </c>
      <c r="J378" s="3" t="s">
        <v>19</v>
      </c>
      <c r="K378" s="3" t="s">
        <v>20</v>
      </c>
      <c r="L378" s="3"/>
      <c r="M378" s="5"/>
      <c r="N378" s="6" t="s">
        <v>1454</v>
      </c>
    </row>
    <row r="379" customFormat="false" ht="26.85" hidden="false" customHeight="false" outlineLevel="0" collapsed="false">
      <c r="A379" s="2" t="s">
        <v>1455</v>
      </c>
      <c r="B379" s="3" t="s">
        <v>1456</v>
      </c>
      <c r="C379" s="3"/>
      <c r="D379" s="3"/>
      <c r="E379" s="3" t="s">
        <v>325</v>
      </c>
      <c r="F379" s="3"/>
      <c r="G379" s="3" t="n">
        <v>17600</v>
      </c>
      <c r="H379" s="3"/>
      <c r="I379" s="4" t="str">
        <f aca="false">IF(H379="","",ROUND((H379-G379)/H379*100,0))</f>
        <v/>
      </c>
      <c r="J379" s="3" t="s">
        <v>19</v>
      </c>
      <c r="K379" s="3" t="s">
        <v>20</v>
      </c>
      <c r="L379" s="3"/>
      <c r="M379" s="5"/>
      <c r="N379" s="6" t="s">
        <v>1457</v>
      </c>
    </row>
    <row r="380" customFormat="false" ht="26.85" hidden="false" customHeight="false" outlineLevel="0" collapsed="false">
      <c r="A380" s="2" t="s">
        <v>1458</v>
      </c>
      <c r="B380" s="3" t="s">
        <v>1459</v>
      </c>
      <c r="C380" s="3"/>
      <c r="D380" s="3" t="s">
        <v>1460</v>
      </c>
      <c r="E380" s="3" t="s">
        <v>17</v>
      </c>
      <c r="F380" s="3" t="s">
        <v>127</v>
      </c>
      <c r="G380" s="3" t="n">
        <v>11500</v>
      </c>
      <c r="H380" s="3"/>
      <c r="I380" s="4" t="str">
        <f aca="false">IF(H380="","",ROUND((H380-G380)/H380*100,0))</f>
        <v/>
      </c>
      <c r="J380" s="3" t="s">
        <v>19</v>
      </c>
      <c r="K380" s="3" t="s">
        <v>20</v>
      </c>
      <c r="L380" s="3"/>
      <c r="M380" s="5"/>
      <c r="N380" s="6" t="s">
        <v>1461</v>
      </c>
    </row>
    <row r="381" customFormat="false" ht="26.85" hidden="false" customHeight="false" outlineLevel="0" collapsed="false">
      <c r="A381" s="2" t="s">
        <v>1462</v>
      </c>
      <c r="B381" s="3" t="s">
        <v>1463</v>
      </c>
      <c r="C381" s="3"/>
      <c r="D381" s="3" t="s">
        <v>1464</v>
      </c>
      <c r="E381" s="3" t="s">
        <v>17</v>
      </c>
      <c r="F381" s="3"/>
      <c r="G381" s="3" t="n">
        <v>69900</v>
      </c>
      <c r="H381" s="3"/>
      <c r="I381" s="4" t="str">
        <f aca="false">IF(H381="","",ROUND((H381-G381)/H381*100,0))</f>
        <v/>
      </c>
      <c r="J381" s="3" t="s">
        <v>19</v>
      </c>
      <c r="K381" s="3" t="s">
        <v>20</v>
      </c>
      <c r="L381" s="3"/>
      <c r="M381" s="5"/>
      <c r="N381" s="6" t="s">
        <v>1465</v>
      </c>
    </row>
    <row r="382" customFormat="false" ht="26.85" hidden="false" customHeight="false" outlineLevel="0" collapsed="false">
      <c r="A382" s="2" t="s">
        <v>1466</v>
      </c>
      <c r="B382" s="3" t="s">
        <v>1467</v>
      </c>
      <c r="C382" s="3"/>
      <c r="D382" s="3" t="s">
        <v>1468</v>
      </c>
      <c r="E382" s="3" t="s">
        <v>17</v>
      </c>
      <c r="F382" s="3"/>
      <c r="G382" s="3" t="n">
        <v>23500</v>
      </c>
      <c r="H382" s="3"/>
      <c r="I382" s="4" t="str">
        <f aca="false">IF(H382="","",ROUND((H382-G382)/H382*100,0))</f>
        <v/>
      </c>
      <c r="J382" s="3" t="s">
        <v>19</v>
      </c>
      <c r="K382" s="3" t="s">
        <v>20</v>
      </c>
      <c r="L382" s="3"/>
      <c r="M382" s="5"/>
      <c r="N382" s="6" t="s">
        <v>1469</v>
      </c>
    </row>
    <row r="383" customFormat="false" ht="26.85" hidden="false" customHeight="false" outlineLevel="0" collapsed="false">
      <c r="A383" s="2" t="s">
        <v>1470</v>
      </c>
      <c r="B383" s="3" t="s">
        <v>1471</v>
      </c>
      <c r="C383" s="3"/>
      <c r="D383" s="3" t="s">
        <v>1472</v>
      </c>
      <c r="E383" s="3" t="s">
        <v>17</v>
      </c>
      <c r="F383" s="3"/>
      <c r="G383" s="3" t="n">
        <v>22200</v>
      </c>
      <c r="H383" s="3" t="n">
        <v>29970</v>
      </c>
      <c r="I383" s="4" t="n">
        <f aca="false">IF(H383="","",ROUND((H383-G383)/H383*100,0))</f>
        <v>26</v>
      </c>
      <c r="J383" s="3" t="s">
        <v>19</v>
      </c>
      <c r="K383" s="3" t="s">
        <v>20</v>
      </c>
      <c r="L383" s="3"/>
      <c r="M383" s="5"/>
      <c r="N383" s="6" t="s">
        <v>1473</v>
      </c>
    </row>
    <row r="384" customFormat="false" ht="26.85" hidden="false" customHeight="false" outlineLevel="0" collapsed="false">
      <c r="A384" s="2" t="s">
        <v>1474</v>
      </c>
      <c r="B384" s="3" t="s">
        <v>1475</v>
      </c>
      <c r="C384" s="3"/>
      <c r="D384" s="3" t="s">
        <v>1476</v>
      </c>
      <c r="E384" s="3" t="s">
        <v>17</v>
      </c>
      <c r="F384" s="3"/>
      <c r="G384" s="3" t="n">
        <v>11500</v>
      </c>
      <c r="H384" s="3"/>
      <c r="I384" s="4" t="str">
        <f aca="false">IF(H384="","",ROUND((H384-G384)/H384*100,0))</f>
        <v/>
      </c>
      <c r="J384" s="3" t="s">
        <v>19</v>
      </c>
      <c r="K384" s="3" t="s">
        <v>20</v>
      </c>
      <c r="L384" s="3"/>
      <c r="M384" s="5"/>
      <c r="N384" s="6" t="s">
        <v>1477</v>
      </c>
    </row>
    <row r="385" customFormat="false" ht="26.85" hidden="false" customHeight="false" outlineLevel="0" collapsed="false">
      <c r="A385" s="2" t="s">
        <v>1478</v>
      </c>
      <c r="B385" s="3" t="s">
        <v>1479</v>
      </c>
      <c r="C385" s="3"/>
      <c r="D385" s="3" t="s">
        <v>1480</v>
      </c>
      <c r="E385" s="3" t="s">
        <v>325</v>
      </c>
      <c r="F385" s="3"/>
      <c r="G385" s="3" t="n">
        <v>29000</v>
      </c>
      <c r="H385" s="3" t="n">
        <v>39150</v>
      </c>
      <c r="I385" s="4" t="n">
        <f aca="false">IF(H385="","",ROUND((H385-G385)/H385*100,0))</f>
        <v>26</v>
      </c>
      <c r="J385" s="3" t="s">
        <v>19</v>
      </c>
      <c r="K385" s="3" t="s">
        <v>20</v>
      </c>
      <c r="L385" s="3"/>
      <c r="M385" s="5"/>
      <c r="N385" s="6" t="s">
        <v>1481</v>
      </c>
    </row>
    <row r="386" customFormat="false" ht="26.85" hidden="false" customHeight="false" outlineLevel="0" collapsed="false">
      <c r="A386" s="2" t="s">
        <v>1482</v>
      </c>
      <c r="B386" s="3" t="s">
        <v>1483</v>
      </c>
      <c r="C386" s="3"/>
      <c r="D386" s="3" t="s">
        <v>409</v>
      </c>
      <c r="E386" s="3" t="s">
        <v>17</v>
      </c>
      <c r="F386" s="3"/>
      <c r="G386" s="3" t="n">
        <v>49100</v>
      </c>
      <c r="H386" s="3"/>
      <c r="I386" s="4" t="str">
        <f aca="false">IF(H386="","",ROUND((H386-G386)/H386*100,0))</f>
        <v/>
      </c>
      <c r="J386" s="3" t="s">
        <v>19</v>
      </c>
      <c r="K386" s="3" t="s">
        <v>20</v>
      </c>
      <c r="L386" s="3"/>
      <c r="M386" s="5"/>
      <c r="N386" s="6" t="s">
        <v>1484</v>
      </c>
    </row>
    <row r="387" customFormat="false" ht="26.85" hidden="false" customHeight="false" outlineLevel="0" collapsed="false">
      <c r="A387" s="2" t="s">
        <v>1485</v>
      </c>
      <c r="B387" s="3" t="s">
        <v>1486</v>
      </c>
      <c r="C387" s="3"/>
      <c r="D387" s="3" t="s">
        <v>156</v>
      </c>
      <c r="E387" s="3" t="s">
        <v>17</v>
      </c>
      <c r="F387" s="3"/>
      <c r="G387" s="3" t="n">
        <v>14500</v>
      </c>
      <c r="H387" s="3" t="n">
        <v>19575</v>
      </c>
      <c r="I387" s="4" t="n">
        <f aca="false">IF(H387="","",ROUND((H387-G387)/H387*100,0))</f>
        <v>26</v>
      </c>
      <c r="J387" s="3" t="s">
        <v>19</v>
      </c>
      <c r="K387" s="3" t="s">
        <v>20</v>
      </c>
      <c r="L387" s="3"/>
      <c r="M387" s="5"/>
      <c r="N387" s="6" t="s">
        <v>1487</v>
      </c>
    </row>
    <row r="388" customFormat="false" ht="26.85" hidden="false" customHeight="false" outlineLevel="0" collapsed="false">
      <c r="A388" s="2" t="s">
        <v>1488</v>
      </c>
      <c r="B388" s="3" t="s">
        <v>1489</v>
      </c>
      <c r="C388" s="3"/>
      <c r="D388" s="3" t="s">
        <v>227</v>
      </c>
      <c r="E388" s="3" t="s">
        <v>17</v>
      </c>
      <c r="F388" s="3"/>
      <c r="G388" s="3" t="n">
        <v>34500</v>
      </c>
      <c r="H388" s="3" t="n">
        <v>46575</v>
      </c>
      <c r="I388" s="4" t="n">
        <f aca="false">IF(H388="","",ROUND((H388-G388)/H388*100,0))</f>
        <v>26</v>
      </c>
      <c r="J388" s="3" t="s">
        <v>19</v>
      </c>
      <c r="K388" s="3" t="s">
        <v>20</v>
      </c>
      <c r="L388" s="3"/>
      <c r="M388" s="5"/>
      <c r="N388" s="6" t="s">
        <v>1490</v>
      </c>
    </row>
    <row r="389" customFormat="false" ht="26.85" hidden="false" customHeight="false" outlineLevel="0" collapsed="false">
      <c r="A389" s="2" t="s">
        <v>1491</v>
      </c>
      <c r="B389" s="3" t="s">
        <v>1492</v>
      </c>
      <c r="C389" s="3"/>
      <c r="D389" s="3"/>
      <c r="E389" s="3" t="s">
        <v>17</v>
      </c>
      <c r="F389" s="3"/>
      <c r="G389" s="3" t="n">
        <v>21500</v>
      </c>
      <c r="H389" s="3"/>
      <c r="I389" s="4" t="str">
        <f aca="false">IF(H389="","",ROUND((H389-G389)/H389*100,0))</f>
        <v/>
      </c>
      <c r="J389" s="3" t="s">
        <v>19</v>
      </c>
      <c r="K389" s="3" t="s">
        <v>20</v>
      </c>
      <c r="L389" s="3"/>
      <c r="M389" s="5"/>
      <c r="N389" s="6" t="s">
        <v>1493</v>
      </c>
    </row>
    <row r="390" customFormat="false" ht="26.85" hidden="false" customHeight="false" outlineLevel="0" collapsed="false">
      <c r="A390" s="2" t="s">
        <v>1494</v>
      </c>
      <c r="B390" s="3" t="s">
        <v>1495</v>
      </c>
      <c r="C390" s="3"/>
      <c r="D390" s="3"/>
      <c r="E390" s="3" t="s">
        <v>17</v>
      </c>
      <c r="F390" s="3"/>
      <c r="G390" s="3" t="n">
        <v>89900</v>
      </c>
      <c r="H390" s="3"/>
      <c r="I390" s="4" t="str">
        <f aca="false">IF(H390="","",ROUND((H390-G390)/H390*100,0))</f>
        <v/>
      </c>
      <c r="J390" s="3" t="s">
        <v>19</v>
      </c>
      <c r="K390" s="3" t="s">
        <v>20</v>
      </c>
      <c r="L390" s="3"/>
      <c r="M390" s="5"/>
      <c r="N390" s="6" t="s">
        <v>1496</v>
      </c>
    </row>
    <row r="391" customFormat="false" ht="26.85" hidden="false" customHeight="false" outlineLevel="0" collapsed="false">
      <c r="A391" s="2" t="s">
        <v>1497</v>
      </c>
      <c r="B391" s="3" t="s">
        <v>1498</v>
      </c>
      <c r="C391" s="3"/>
      <c r="D391" s="3"/>
      <c r="E391" s="3" t="s">
        <v>325</v>
      </c>
      <c r="F391" s="3"/>
      <c r="G391" s="3" t="n">
        <v>17800</v>
      </c>
      <c r="H391" s="3"/>
      <c r="I391" s="4" t="str">
        <f aca="false">IF(H391="","",ROUND((H391-G391)/H391*100,0))</f>
        <v/>
      </c>
      <c r="J391" s="3" t="s">
        <v>19</v>
      </c>
      <c r="K391" s="3" t="s">
        <v>20</v>
      </c>
      <c r="L391" s="3"/>
      <c r="M391" s="5"/>
      <c r="N391" s="6" t="s">
        <v>1499</v>
      </c>
    </row>
    <row r="392" customFormat="false" ht="26.85" hidden="false" customHeight="false" outlineLevel="0" collapsed="false">
      <c r="A392" s="2" t="s">
        <v>1500</v>
      </c>
      <c r="B392" s="3" t="s">
        <v>1501</v>
      </c>
      <c r="C392" s="3" t="s">
        <v>923</v>
      </c>
      <c r="D392" s="3" t="s">
        <v>1230</v>
      </c>
      <c r="E392" s="3" t="s">
        <v>325</v>
      </c>
      <c r="F392" s="3" t="s">
        <v>925</v>
      </c>
      <c r="G392" s="3" t="n">
        <v>10500</v>
      </c>
      <c r="H392" s="3" t="n">
        <v>14175</v>
      </c>
      <c r="I392" s="4" t="n">
        <f aca="false">IF(H392="","",ROUND((H392-G392)/H392*100,0))</f>
        <v>26</v>
      </c>
      <c r="J392" s="3" t="s">
        <v>19</v>
      </c>
      <c r="K392" s="3" t="s">
        <v>20</v>
      </c>
      <c r="L392" s="3"/>
      <c r="M392" s="5"/>
      <c r="N392" s="6" t="s">
        <v>1502</v>
      </c>
    </row>
    <row r="393" customFormat="false" ht="26.85" hidden="false" customHeight="false" outlineLevel="0" collapsed="false">
      <c r="A393" s="2" t="s">
        <v>1503</v>
      </c>
      <c r="B393" s="3" t="s">
        <v>1504</v>
      </c>
      <c r="C393" s="3"/>
      <c r="D393" s="3"/>
      <c r="E393" s="3" t="s">
        <v>325</v>
      </c>
      <c r="F393" s="3"/>
      <c r="G393" s="3" t="n">
        <v>17900</v>
      </c>
      <c r="H393" s="3"/>
      <c r="I393" s="4" t="str">
        <f aca="false">IF(H393="","",ROUND((H393-G393)/H393*100,0))</f>
        <v/>
      </c>
      <c r="J393" s="3" t="s">
        <v>19</v>
      </c>
      <c r="K393" s="3" t="s">
        <v>20</v>
      </c>
      <c r="L393" s="3"/>
      <c r="M393" s="5"/>
      <c r="N393" s="6" t="s">
        <v>1505</v>
      </c>
    </row>
    <row r="394" customFormat="false" ht="26.85" hidden="false" customHeight="false" outlineLevel="0" collapsed="false">
      <c r="A394" s="2" t="s">
        <v>1506</v>
      </c>
      <c r="B394" s="3" t="s">
        <v>1507</v>
      </c>
      <c r="C394" s="3"/>
      <c r="D394" s="3" t="s">
        <v>1508</v>
      </c>
      <c r="E394" s="3" t="s">
        <v>325</v>
      </c>
      <c r="F394" s="3"/>
      <c r="G394" s="3" t="n">
        <v>8500</v>
      </c>
      <c r="H394" s="3"/>
      <c r="I394" s="4" t="str">
        <f aca="false">IF(H394="","",ROUND((H394-G394)/H394*100,0))</f>
        <v/>
      </c>
      <c r="J394" s="3" t="s">
        <v>19</v>
      </c>
      <c r="K394" s="3" t="s">
        <v>20</v>
      </c>
      <c r="L394" s="3"/>
      <c r="M394" s="5"/>
      <c r="N394" s="6" t="s">
        <v>1509</v>
      </c>
    </row>
    <row r="395" customFormat="false" ht="26.85" hidden="false" customHeight="false" outlineLevel="0" collapsed="false">
      <c r="A395" s="2" t="s">
        <v>1510</v>
      </c>
      <c r="B395" s="3" t="s">
        <v>1511</v>
      </c>
      <c r="C395" s="3"/>
      <c r="D395" s="3" t="s">
        <v>1512</v>
      </c>
      <c r="E395" s="3" t="s">
        <v>1513</v>
      </c>
      <c r="F395" s="3"/>
      <c r="G395" s="3" t="n">
        <v>61000</v>
      </c>
      <c r="H395" s="3"/>
      <c r="I395" s="4" t="str">
        <f aca="false">IF(H395="","",ROUND((H395-G395)/H395*100,0))</f>
        <v/>
      </c>
      <c r="J395" s="3" t="s">
        <v>19</v>
      </c>
      <c r="K395" s="3" t="s">
        <v>20</v>
      </c>
      <c r="L395" s="3"/>
      <c r="M395" s="5"/>
      <c r="N395" s="6" t="s">
        <v>1514</v>
      </c>
    </row>
    <row r="396" customFormat="false" ht="26.85" hidden="false" customHeight="false" outlineLevel="0" collapsed="false">
      <c r="A396" s="2" t="s">
        <v>1515</v>
      </c>
      <c r="B396" s="3" t="s">
        <v>1516</v>
      </c>
      <c r="C396" s="3"/>
      <c r="D396" s="3" t="s">
        <v>1517</v>
      </c>
      <c r="E396" s="3" t="s">
        <v>17</v>
      </c>
      <c r="F396" s="3" t="s">
        <v>102</v>
      </c>
      <c r="G396" s="3" t="n">
        <v>43900</v>
      </c>
      <c r="H396" s="3"/>
      <c r="I396" s="4" t="str">
        <f aca="false">IF(H396="","",ROUND((H396-G396)/H396*100,0))</f>
        <v/>
      </c>
      <c r="J396" s="3" t="s">
        <v>19</v>
      </c>
      <c r="K396" s="3" t="s">
        <v>20</v>
      </c>
      <c r="L396" s="3"/>
      <c r="M396" s="5"/>
      <c r="N396" s="6" t="s">
        <v>1518</v>
      </c>
    </row>
    <row r="397" customFormat="false" ht="26.85" hidden="false" customHeight="false" outlineLevel="0" collapsed="false">
      <c r="A397" s="2" t="s">
        <v>1519</v>
      </c>
      <c r="B397" s="3" t="s">
        <v>1520</v>
      </c>
      <c r="C397" s="3"/>
      <c r="D397" s="3" t="s">
        <v>1521</v>
      </c>
      <c r="E397" s="3" t="s">
        <v>1513</v>
      </c>
      <c r="F397" s="3"/>
      <c r="G397" s="3" t="n">
        <v>17000</v>
      </c>
      <c r="H397" s="3"/>
      <c r="I397" s="4" t="str">
        <f aca="false">IF(H397="","",ROUND((H397-G397)/H397*100,0))</f>
        <v/>
      </c>
      <c r="J397" s="3" t="s">
        <v>19</v>
      </c>
      <c r="K397" s="3" t="s">
        <v>20</v>
      </c>
      <c r="L397" s="3"/>
      <c r="M397" s="5"/>
      <c r="N397" s="6" t="s">
        <v>1522</v>
      </c>
    </row>
    <row r="398" customFormat="false" ht="26.85" hidden="false" customHeight="false" outlineLevel="0" collapsed="false">
      <c r="A398" s="2" t="s">
        <v>1523</v>
      </c>
      <c r="B398" s="3" t="s">
        <v>1524</v>
      </c>
      <c r="C398" s="3"/>
      <c r="D398" s="3" t="s">
        <v>1521</v>
      </c>
      <c r="E398" s="3" t="s">
        <v>325</v>
      </c>
      <c r="F398" s="3"/>
      <c r="G398" s="3" t="n">
        <v>17000</v>
      </c>
      <c r="H398" s="3"/>
      <c r="I398" s="4" t="str">
        <f aca="false">IF(H398="","",ROUND((H398-G398)/H398*100,0))</f>
        <v/>
      </c>
      <c r="J398" s="3" t="s">
        <v>19</v>
      </c>
      <c r="K398" s="3" t="s">
        <v>20</v>
      </c>
      <c r="L398" s="3"/>
      <c r="M398" s="5"/>
      <c r="N398" s="6" t="s">
        <v>1525</v>
      </c>
    </row>
    <row r="399" customFormat="false" ht="26.85" hidden="false" customHeight="false" outlineLevel="0" collapsed="false">
      <c r="A399" s="2" t="s">
        <v>1526</v>
      </c>
      <c r="B399" s="3" t="s">
        <v>1527</v>
      </c>
      <c r="C399" s="3" t="s">
        <v>714</v>
      </c>
      <c r="D399" s="3" t="s">
        <v>1521</v>
      </c>
      <c r="E399" s="3" t="s">
        <v>325</v>
      </c>
      <c r="F399" s="3" t="s">
        <v>545</v>
      </c>
      <c r="G399" s="3" t="n">
        <v>16160</v>
      </c>
      <c r="H399" s="3"/>
      <c r="I399" s="4" t="str">
        <f aca="false">IF(H399="","",ROUND((H399-G399)/H399*100,0))</f>
        <v/>
      </c>
      <c r="J399" s="3" t="s">
        <v>19</v>
      </c>
      <c r="K399" s="3" t="s">
        <v>20</v>
      </c>
      <c r="L399" s="3"/>
      <c r="M399" s="5"/>
      <c r="N399" s="6" t="s">
        <v>1528</v>
      </c>
    </row>
    <row r="400" customFormat="false" ht="26.85" hidden="false" customHeight="false" outlineLevel="0" collapsed="false">
      <c r="A400" s="2" t="s">
        <v>1529</v>
      </c>
      <c r="B400" s="3" t="s">
        <v>1530</v>
      </c>
      <c r="C400" s="3"/>
      <c r="D400" s="3" t="s">
        <v>165</v>
      </c>
      <c r="E400" s="3" t="s">
        <v>17</v>
      </c>
      <c r="F400" s="3"/>
      <c r="G400" s="3" t="n">
        <v>15200</v>
      </c>
      <c r="H400" s="3"/>
      <c r="I400" s="4" t="str">
        <f aca="false">IF(H400="","",ROUND((H400-G400)/H400*100,0))</f>
        <v/>
      </c>
      <c r="J400" s="3" t="s">
        <v>19</v>
      </c>
      <c r="K400" s="3" t="s">
        <v>20</v>
      </c>
      <c r="L400" s="3"/>
      <c r="M400" s="5"/>
      <c r="N400" s="6" t="s">
        <v>1531</v>
      </c>
    </row>
    <row r="401" customFormat="false" ht="26.85" hidden="false" customHeight="false" outlineLevel="0" collapsed="false">
      <c r="A401" s="2" t="s">
        <v>1532</v>
      </c>
      <c r="B401" s="3" t="s">
        <v>1533</v>
      </c>
      <c r="C401" s="3"/>
      <c r="D401" s="3" t="s">
        <v>1534</v>
      </c>
      <c r="E401" s="3" t="s">
        <v>17</v>
      </c>
      <c r="F401" s="3"/>
      <c r="G401" s="3" t="n">
        <v>16900</v>
      </c>
      <c r="H401" s="3"/>
      <c r="I401" s="4" t="str">
        <f aca="false">IF(H401="","",ROUND((H401-G401)/H401*100,0))</f>
        <v/>
      </c>
      <c r="J401" s="3" t="s">
        <v>19</v>
      </c>
      <c r="K401" s="3" t="s">
        <v>20</v>
      </c>
      <c r="L401" s="3"/>
      <c r="M401" s="5"/>
      <c r="N401" s="6" t="s">
        <v>1535</v>
      </c>
    </row>
    <row r="402" customFormat="false" ht="26.85" hidden="false" customHeight="false" outlineLevel="0" collapsed="false">
      <c r="A402" s="2" t="s">
        <v>1536</v>
      </c>
      <c r="B402" s="3" t="s">
        <v>1537</v>
      </c>
      <c r="C402" s="3"/>
      <c r="D402" s="3" t="s">
        <v>1538</v>
      </c>
      <c r="E402" s="3" t="s">
        <v>17</v>
      </c>
      <c r="F402" s="3" t="s">
        <v>46</v>
      </c>
      <c r="G402" s="3" t="n">
        <v>4700</v>
      </c>
      <c r="H402" s="3"/>
      <c r="I402" s="4" t="str">
        <f aca="false">IF(H402="","",ROUND((H402-G402)/H402*100,0))</f>
        <v/>
      </c>
      <c r="J402" s="3" t="s">
        <v>19</v>
      </c>
      <c r="K402" s="3" t="s">
        <v>20</v>
      </c>
      <c r="L402" s="3"/>
      <c r="M402" s="5"/>
      <c r="N402" s="6" t="s">
        <v>1539</v>
      </c>
    </row>
    <row r="403" customFormat="false" ht="26.85" hidden="false" customHeight="false" outlineLevel="0" collapsed="false">
      <c r="A403" s="2" t="s">
        <v>1540</v>
      </c>
      <c r="B403" s="3" t="s">
        <v>1541</v>
      </c>
      <c r="C403" s="3"/>
      <c r="D403" s="3" t="s">
        <v>1480</v>
      </c>
      <c r="E403" s="3" t="s">
        <v>1513</v>
      </c>
      <c r="F403" s="3"/>
      <c r="G403" s="3" t="n">
        <v>8000</v>
      </c>
      <c r="H403" s="3" t="n">
        <v>10800</v>
      </c>
      <c r="I403" s="4" t="n">
        <f aca="false">IF(H403="","",ROUND((H403-G403)/H403*100,0))</f>
        <v>26</v>
      </c>
      <c r="J403" s="3" t="s">
        <v>19</v>
      </c>
      <c r="K403" s="3" t="s">
        <v>20</v>
      </c>
      <c r="L403" s="3"/>
      <c r="M403" s="5"/>
      <c r="N403" s="6" t="s">
        <v>1542</v>
      </c>
    </row>
    <row r="404" customFormat="false" ht="26.85" hidden="false" customHeight="false" outlineLevel="0" collapsed="false">
      <c r="A404" s="2" t="s">
        <v>1543</v>
      </c>
      <c r="B404" s="3" t="s">
        <v>1544</v>
      </c>
      <c r="C404" s="3"/>
      <c r="D404" s="3" t="s">
        <v>1480</v>
      </c>
      <c r="E404" s="3" t="s">
        <v>1513</v>
      </c>
      <c r="F404" s="3"/>
      <c r="G404" s="3" t="n">
        <v>8000</v>
      </c>
      <c r="H404" s="3"/>
      <c r="I404" s="4" t="str">
        <f aca="false">IF(H404="","",ROUND((H404-G404)/H404*100,0))</f>
        <v/>
      </c>
      <c r="J404" s="3" t="s">
        <v>19</v>
      </c>
      <c r="K404" s="3" t="s">
        <v>20</v>
      </c>
      <c r="L404" s="3"/>
      <c r="M404" s="5"/>
      <c r="N404" s="6" t="s">
        <v>1545</v>
      </c>
    </row>
    <row r="405" customFormat="false" ht="26.85" hidden="false" customHeight="false" outlineLevel="0" collapsed="false">
      <c r="A405" s="2" t="s">
        <v>1546</v>
      </c>
      <c r="B405" s="3" t="s">
        <v>1547</v>
      </c>
      <c r="C405" s="3"/>
      <c r="D405" s="3" t="s">
        <v>312</v>
      </c>
      <c r="E405" s="3" t="s">
        <v>17</v>
      </c>
      <c r="F405" s="3"/>
      <c r="G405" s="3" t="n">
        <v>32000</v>
      </c>
      <c r="H405" s="3" t="n">
        <v>43200</v>
      </c>
      <c r="I405" s="4" t="n">
        <f aca="false">IF(H405="","",ROUND((H405-G405)/H405*100,0))</f>
        <v>26</v>
      </c>
      <c r="J405" s="3" t="s">
        <v>19</v>
      </c>
      <c r="K405" s="3" t="s">
        <v>20</v>
      </c>
      <c r="L405" s="3"/>
      <c r="M405" s="5"/>
      <c r="N405" s="6" t="s">
        <v>1548</v>
      </c>
    </row>
    <row r="406" customFormat="false" ht="26.85" hidden="false" customHeight="false" outlineLevel="0" collapsed="false">
      <c r="A406" s="2" t="s">
        <v>1549</v>
      </c>
      <c r="B406" s="3" t="s">
        <v>1550</v>
      </c>
      <c r="C406" s="3"/>
      <c r="D406" s="3" t="s">
        <v>791</v>
      </c>
      <c r="E406" s="3" t="s">
        <v>17</v>
      </c>
      <c r="F406" s="3"/>
      <c r="G406" s="3" t="n">
        <v>86500</v>
      </c>
      <c r="H406" s="3" t="n">
        <v>116775</v>
      </c>
      <c r="I406" s="4" t="n">
        <f aca="false">IF(H406="","",ROUND((H406-G406)/H406*100,0))</f>
        <v>26</v>
      </c>
      <c r="J406" s="3" t="s">
        <v>19</v>
      </c>
      <c r="K406" s="3" t="s">
        <v>20</v>
      </c>
      <c r="L406" s="3"/>
      <c r="M406" s="5"/>
      <c r="N406" s="6" t="s">
        <v>1551</v>
      </c>
    </row>
    <row r="407" customFormat="false" ht="26.85" hidden="false" customHeight="false" outlineLevel="0" collapsed="false">
      <c r="A407" s="2" t="s">
        <v>1552</v>
      </c>
      <c r="B407" s="3" t="s">
        <v>1553</v>
      </c>
      <c r="C407" s="3"/>
      <c r="D407" s="3" t="s">
        <v>622</v>
      </c>
      <c r="E407" s="3" t="s">
        <v>17</v>
      </c>
      <c r="F407" s="3" t="s">
        <v>26</v>
      </c>
      <c r="G407" s="3" t="n">
        <v>24500</v>
      </c>
      <c r="H407" s="3"/>
      <c r="I407" s="4" t="str">
        <f aca="false">IF(H407="","",ROUND((H407-G407)/H407*100,0))</f>
        <v/>
      </c>
      <c r="J407" s="3" t="s">
        <v>19</v>
      </c>
      <c r="K407" s="3" t="s">
        <v>20</v>
      </c>
      <c r="L407" s="3"/>
      <c r="M407" s="5"/>
      <c r="N407" s="6" t="s">
        <v>1554</v>
      </c>
    </row>
    <row r="408" customFormat="false" ht="26.85" hidden="false" customHeight="false" outlineLevel="0" collapsed="false">
      <c r="A408" s="2" t="s">
        <v>1555</v>
      </c>
      <c r="B408" s="3" t="s">
        <v>1556</v>
      </c>
      <c r="C408" s="3"/>
      <c r="D408" s="3" t="s">
        <v>622</v>
      </c>
      <c r="E408" s="3" t="s">
        <v>17</v>
      </c>
      <c r="F408" s="3"/>
      <c r="G408" s="3" t="n">
        <v>29700</v>
      </c>
      <c r="H408" s="3" t="n">
        <v>40095</v>
      </c>
      <c r="I408" s="4" t="n">
        <f aca="false">IF(H408="","",ROUND((H408-G408)/H408*100,0))</f>
        <v>26</v>
      </c>
      <c r="J408" s="3" t="s">
        <v>19</v>
      </c>
      <c r="K408" s="3" t="s">
        <v>20</v>
      </c>
      <c r="L408" s="3"/>
      <c r="M408" s="5"/>
      <c r="N408" s="6" t="s">
        <v>1557</v>
      </c>
    </row>
  </sheetData>
  <autoFilter ref="A1:N408"/>
  <dataValidations count="6">
    <dataValidation allowBlank="true" error="Elige una categoría de la lista." errorStyle="stop" errorTitle="Revisar" operator="between" showDropDown="false" showErrorMessage="true" showInputMessage="false" sqref="E2:E408" type="list">
      <formula1>Listas!$A$1:$A$7</formula1>
      <formula2>0</formula2>
    </dataValidation>
    <dataValidation allowBlank="true" error="Escribe SI o NO." errorStyle="stop" errorTitle="Revisar" operator="between" showDropDown="false" showErrorMessage="true" showInputMessage="false" sqref="J2:J408" type="list">
      <formula1>Listas!$B$1:$B$2</formula1>
      <formula2>0</formula2>
    </dataValidation>
    <dataValidation allowBlank="true" error="Escribe SI o NO." errorStyle="stop" errorTitle="Revisar" operator="between" showDropDown="false" showErrorMessage="true" showInputMessage="false" sqref="K2:K408" type="list">
      <formula1>Listas!$B$1:$B$2</formula1>
      <formula2>0</formula2>
    </dataValidation>
    <dataValidation allowBlank="true" error="Escribe SI o NO." errorStyle="stop" errorTitle="Revisar" operator="between" showDropDown="false" showErrorMessage="true" showInputMessage="false" sqref="L2:L408" type="list">
      <formula1>Listas!$B$1:$B$2</formula1>
      <formula2>0</formula2>
    </dataValidation>
    <dataValidation allowBlank="true" error="Escribe SI o NO." errorStyle="stop" errorTitle="Revisar" operator="between" showDropDown="false" showErrorMessage="true" showInputMessage="false" sqref="M2:M408" type="list">
      <formula1>Listas!$B$1:$B$2</formula1>
      <formula2>0</formula2>
    </dataValidation>
    <dataValidation allowBlank="true" error="El precio es un número entero mayor que cero, sin puntos ni signo $ (62900)." errorStyle="stop" operator="greaterThan" showDropDown="false" showErrorMessage="true" showInputMessage="false" sqref="G2:H40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36</v>
      </c>
      <c r="B1" s="0" t="s">
        <v>19</v>
      </c>
    </row>
    <row r="2" customFormat="false" ht="15" hidden="false" customHeight="false" outlineLevel="0" collapsed="false">
      <c r="A2" s="0" t="s">
        <v>1319</v>
      </c>
      <c r="B2" s="0" t="s">
        <v>20</v>
      </c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325</v>
      </c>
    </row>
    <row r="5" customFormat="false" ht="15" hidden="false" customHeight="false" outlineLevel="0" collapsed="false">
      <c r="A5" s="0" t="s">
        <v>101</v>
      </c>
    </row>
    <row r="6" customFormat="false" ht="15" hidden="false" customHeight="false" outlineLevel="0" collapsed="false">
      <c r="A6" s="0" t="s">
        <v>17</v>
      </c>
    </row>
    <row r="7" customFormat="false" ht="15" hidden="false" customHeight="false" outlineLevel="0" collapsed="false">
      <c r="A7" s="0" t="s">
        <v>1513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1558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1559</v>
      </c>
    </row>
    <row r="4" customFormat="false" ht="15" hidden="false" customHeight="false" outlineLevel="0" collapsed="false">
      <c r="A4" s="8" t="s">
        <v>1560</v>
      </c>
    </row>
    <row r="5" customFormat="false" ht="15" hidden="false" customHeight="false" outlineLevel="0" collapsed="false">
      <c r="A5" s="8" t="s">
        <v>1561</v>
      </c>
    </row>
    <row r="6" customFormat="false" ht="15" hidden="false" customHeight="false" outlineLevel="0" collapsed="false">
      <c r="A6" s="8" t="s">
        <v>1562</v>
      </c>
    </row>
    <row r="7" customFormat="false" ht="15" hidden="false" customHeight="false" outlineLevel="0" collapsed="false">
      <c r="A7" s="8" t="s">
        <v>1563</v>
      </c>
    </row>
    <row r="8" customFormat="false" ht="15" hidden="false" customHeight="false" outlineLevel="0" collapsed="false">
      <c r="A8" s="8" t="s">
        <v>1564</v>
      </c>
    </row>
    <row r="9" customFormat="false" ht="15" hidden="false" customHeight="false" outlineLevel="0" collapsed="false">
      <c r="A9" s="8" t="s">
        <v>1565</v>
      </c>
    </row>
    <row r="10" customFormat="false" ht="15" hidden="false" customHeight="false" outlineLevel="0" collapsed="false">
      <c r="A10" s="8" t="s">
        <v>1566</v>
      </c>
    </row>
    <row r="11" customFormat="false" ht="15" hidden="false" customHeight="false" outlineLevel="0" collapsed="false">
      <c r="A11" s="8" t="s">
        <v>1567</v>
      </c>
    </row>
    <row r="12" customFormat="false" ht="15" hidden="false" customHeight="false" outlineLevel="0" collapsed="false">
      <c r="A12" s="8" t="s">
        <v>1568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2026-09-17T04:56:25Z</dcterms:created>
  <dc:creator>openpyxl</dc:creator>
  <dc:description/>
  <dc:language>es-CO</dc:language>
  <cp:lastModifiedBy/>
  <dcterms:modified xsi:type="dcterms:W3CDTF">2026-09-17T04:56:25Z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